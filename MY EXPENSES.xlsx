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j\Downloads\"/>
    </mc:Choice>
  </mc:AlternateContent>
  <xr:revisionPtr revIDLastSave="0" documentId="8_{519D6A3C-EED8-4399-80FF-55D6BC2B2D98}" xr6:coauthVersionLast="47" xr6:coauthVersionMax="47" xr10:uidLastSave="{00000000-0000-0000-0000-000000000000}"/>
  <bookViews>
    <workbookView xWindow="-120" yWindow="-120" windowWidth="29040" windowHeight="15720" activeTab="1" xr2:uid="{762DEBF9-6865-43E7-8087-4322FECC47A3}"/>
  </bookViews>
  <sheets>
    <sheet name="TFa146c834-f9db-4f07-9545-eb002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4" i="4" l="1"/>
  <c r="F324" i="4"/>
  <c r="D229" i="4"/>
  <c r="D259" i="4"/>
  <c r="D292" i="4"/>
  <c r="F292" i="4"/>
  <c r="H292" i="4"/>
  <c r="H259" i="4"/>
  <c r="F259" i="4"/>
  <c r="F229" i="4"/>
  <c r="H229" i="4"/>
  <c r="I357" i="4"/>
  <c r="H357" i="4"/>
  <c r="G357" i="4"/>
  <c r="F357" i="4"/>
  <c r="E357" i="4"/>
  <c r="D357" i="4"/>
  <c r="K331" i="4"/>
  <c r="K332" i="4"/>
  <c r="K333" i="4"/>
  <c r="K343" i="4"/>
  <c r="K344" i="4"/>
  <c r="K345" i="4"/>
  <c r="K355" i="4"/>
  <c r="K356" i="4"/>
  <c r="K389" i="4"/>
  <c r="I389" i="4"/>
  <c r="H389" i="4"/>
  <c r="E389" i="4"/>
  <c r="F389" i="4"/>
  <c r="D389" i="4"/>
  <c r="D422" i="4"/>
  <c r="E422" i="4"/>
  <c r="I422" i="4"/>
  <c r="G422" i="4"/>
  <c r="H422" i="4"/>
  <c r="F422" i="4"/>
  <c r="C422" i="4"/>
  <c r="C389" i="4"/>
  <c r="C357" i="4"/>
  <c r="C324" i="4"/>
  <c r="C292" i="4"/>
  <c r="C259" i="4"/>
  <c r="C229" i="4"/>
  <c r="C196" i="4"/>
  <c r="J359" i="4"/>
  <c r="K359" i="4" s="1"/>
  <c r="J360" i="4"/>
  <c r="K360" i="4" s="1"/>
  <c r="J361" i="4"/>
  <c r="K361" i="4" s="1"/>
  <c r="J362" i="4"/>
  <c r="K362" i="4"/>
  <c r="J363" i="4"/>
  <c r="K363" i="4" s="1"/>
  <c r="J364" i="4"/>
  <c r="K364" i="4" s="1"/>
  <c r="J365" i="4"/>
  <c r="K365" i="4" s="1"/>
  <c r="J366" i="4"/>
  <c r="K366" i="4" s="1"/>
  <c r="J367" i="4"/>
  <c r="K367" i="4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91" i="4"/>
  <c r="K391" i="4" s="1"/>
  <c r="K422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327" i="4"/>
  <c r="K327" i="4" s="1"/>
  <c r="J328" i="4"/>
  <c r="K328" i="4" s="1"/>
  <c r="J329" i="4"/>
  <c r="K329" i="4" s="1"/>
  <c r="J330" i="4"/>
  <c r="K330" i="4" s="1"/>
  <c r="J331" i="4"/>
  <c r="J332" i="4"/>
  <c r="J333" i="4"/>
  <c r="J334" i="4"/>
  <c r="K334" i="4" s="1"/>
  <c r="J335" i="4"/>
  <c r="J357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J344" i="4"/>
  <c r="J345" i="4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J356" i="4"/>
  <c r="J294" i="4"/>
  <c r="K294" i="4" s="1"/>
  <c r="K324" i="4" s="1"/>
  <c r="J295" i="4"/>
  <c r="K295" i="4" s="1"/>
  <c r="J296" i="4"/>
  <c r="K296" i="4" s="1"/>
  <c r="J297" i="4"/>
  <c r="K297" i="4" s="1"/>
  <c r="J298" i="4"/>
  <c r="K298" i="4" s="1"/>
  <c r="J299" i="4"/>
  <c r="K299" i="4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6" i="4"/>
  <c r="K326" i="4" s="1"/>
  <c r="J264" i="4"/>
  <c r="K264" i="4" s="1"/>
  <c r="J265" i="4"/>
  <c r="K265" i="4" s="1"/>
  <c r="J266" i="4"/>
  <c r="K266" i="4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/>
  <c r="J289" i="4"/>
  <c r="K289" i="4" s="1"/>
  <c r="J290" i="4"/>
  <c r="K290" i="4" s="1"/>
  <c r="J291" i="4"/>
  <c r="K291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J237" i="4"/>
  <c r="K237" i="4" s="1"/>
  <c r="J238" i="4"/>
  <c r="K238" i="4" s="1"/>
  <c r="J239" i="4"/>
  <c r="K239" i="4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61" i="4"/>
  <c r="K261" i="4" s="1"/>
  <c r="J262" i="4"/>
  <c r="K262" i="4" s="1"/>
  <c r="J263" i="4"/>
  <c r="K263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195" i="4"/>
  <c r="K195" i="4" s="1"/>
  <c r="J165" i="4"/>
  <c r="K165" i="4" s="1"/>
  <c r="D66" i="4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D196" i="4"/>
  <c r="F196" i="4"/>
  <c r="H196" i="4"/>
  <c r="C98" i="4"/>
  <c r="F98" i="4"/>
  <c r="D98" i="4"/>
  <c r="F66" i="4"/>
  <c r="D33" i="4"/>
  <c r="F33" i="4"/>
  <c r="G131" i="4"/>
  <c r="I131" i="4"/>
  <c r="H131" i="4"/>
  <c r="F131" i="4"/>
  <c r="C163" i="4"/>
  <c r="C131" i="4"/>
  <c r="D131" i="4"/>
  <c r="H163" i="4"/>
  <c r="F163" i="4"/>
  <c r="D163" i="4"/>
  <c r="J162" i="4"/>
  <c r="K162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G33" i="4"/>
  <c r="H33" i="4"/>
  <c r="I33" i="4"/>
  <c r="E33" i="4"/>
  <c r="E66" i="4"/>
  <c r="G66" i="4"/>
  <c r="I66" i="4"/>
  <c r="H66" i="4"/>
  <c r="C66" i="4"/>
  <c r="C33" i="4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J18" i="4"/>
  <c r="K18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4" i="1"/>
  <c r="AE19" i="1"/>
  <c r="AE20" i="1" s="1"/>
  <c r="AL19" i="1"/>
  <c r="AL20" i="1" s="1"/>
  <c r="AK19" i="1"/>
  <c r="AK20" i="1" s="1"/>
  <c r="AJ19" i="1"/>
  <c r="AJ20" i="1" s="1"/>
  <c r="AI19" i="1"/>
  <c r="AI20" i="1" s="1"/>
  <c r="AH19" i="1"/>
  <c r="AH20" i="1" s="1"/>
  <c r="AG19" i="1"/>
  <c r="AG20" i="1" s="1"/>
  <c r="AF19" i="1"/>
  <c r="AF20" i="1" s="1"/>
  <c r="AD19" i="1"/>
  <c r="AD20" i="1" s="1"/>
  <c r="AC19" i="1"/>
  <c r="AC20" i="1" s="1"/>
  <c r="AB19" i="1"/>
  <c r="AB20" i="1" s="1"/>
  <c r="AA19" i="1"/>
  <c r="AA20" i="1" s="1"/>
  <c r="Z19" i="1"/>
  <c r="Z20" i="1" s="1"/>
  <c r="Y19" i="1"/>
  <c r="Y20" i="1" s="1"/>
  <c r="X19" i="1"/>
  <c r="X20" i="1" s="1"/>
  <c r="W19" i="1"/>
  <c r="W20" i="1" s="1"/>
  <c r="V19" i="1"/>
  <c r="V20" i="1" s="1"/>
  <c r="U19" i="1"/>
  <c r="U20" i="1" s="1"/>
  <c r="T19" i="1"/>
  <c r="T20" i="1" s="1"/>
  <c r="S19" i="1"/>
  <c r="S20" i="1" s="1"/>
  <c r="R19" i="1"/>
  <c r="R20" i="1" s="1"/>
  <c r="Q19" i="1"/>
  <c r="Q20" i="1" s="1"/>
  <c r="P19" i="1"/>
  <c r="P20" i="1" s="1"/>
  <c r="O19" i="1"/>
  <c r="O20" i="1" s="1"/>
  <c r="M19" i="1"/>
  <c r="M20" i="1" s="1"/>
  <c r="N19" i="1"/>
  <c r="N20" i="1" s="1"/>
  <c r="H19" i="1"/>
  <c r="H20" i="1" s="1"/>
  <c r="I19" i="1"/>
  <c r="I20" i="1" s="1"/>
  <c r="J19" i="1"/>
  <c r="J20" i="1" s="1"/>
  <c r="K19" i="1"/>
  <c r="K20" i="1" s="1"/>
  <c r="L19" i="1"/>
  <c r="L20" i="1"/>
  <c r="C19" i="1"/>
  <c r="C20" i="1" s="1"/>
  <c r="D19" i="1"/>
  <c r="D20" i="1" s="1"/>
  <c r="E19" i="1"/>
  <c r="E20" i="1" s="1"/>
  <c r="AM20" i="1" s="1"/>
  <c r="F19" i="1"/>
  <c r="F20" i="1" s="1"/>
  <c r="G19" i="1"/>
  <c r="G20" i="1" s="1"/>
  <c r="B19" i="1"/>
  <c r="B20" i="1" s="1"/>
  <c r="K292" i="4" l="1"/>
  <c r="AO23" i="1"/>
  <c r="J422" i="4"/>
  <c r="K335" i="4"/>
  <c r="K357" i="4" s="1"/>
  <c r="J389" i="4"/>
  <c r="AM19" i="1"/>
  <c r="J259" i="4"/>
  <c r="J292" i="4"/>
  <c r="J229" i="4"/>
  <c r="K196" i="4"/>
  <c r="J324" i="4"/>
  <c r="J196" i="4"/>
  <c r="K236" i="4"/>
  <c r="K259" i="4" s="1"/>
  <c r="K229" i="4"/>
  <c r="K33" i="4"/>
  <c r="K163" i="4"/>
  <c r="J163" i="4"/>
  <c r="J33" i="4"/>
  <c r="J131" i="4"/>
  <c r="K98" i="4"/>
  <c r="J98" i="4"/>
  <c r="K130" i="4"/>
  <c r="K131" i="4" s="1"/>
  <c r="J66" i="4"/>
  <c r="K35" i="4"/>
  <c r="K66" i="4" s="1"/>
  <c r="AF21" i="1"/>
  <c r="AF22" i="1" s="1"/>
  <c r="T21" i="1"/>
  <c r="T22" i="1" s="1"/>
  <c r="B21" i="1"/>
  <c r="AM21" i="1" s="1"/>
  <c r="H21" i="1"/>
  <c r="H22" i="1" s="1"/>
  <c r="B22" i="1"/>
  <c r="I163" i="4"/>
  <c r="G163" i="4"/>
  <c r="AM22" i="1" l="1"/>
  <c r="AN23" i="1" s="1"/>
  <c r="G324" i="4"/>
  <c r="G292" i="4"/>
  <c r="G259" i="4"/>
  <c r="G229" i="4"/>
  <c r="G196" i="4"/>
  <c r="H324" i="4"/>
  <c r="G389" i="4"/>
  <c r="G98" i="4"/>
  <c r="H98" i="4"/>
  <c r="E98" i="4"/>
  <c r="I324" i="4"/>
  <c r="I196" i="4"/>
  <c r="I229" i="4"/>
  <c r="I259" i="4"/>
  <c r="I292" i="4"/>
  <c r="I98" i="4"/>
  <c r="E131" i="4"/>
  <c r="E163" i="4"/>
  <c r="E196" i="4"/>
  <c r="E229" i="4"/>
  <c r="E259" i="4"/>
  <c r="E292" i="4"/>
  <c r="E324" i="4"/>
</calcChain>
</file>

<file path=xl/sharedStrings.xml><?xml version="1.0" encoding="utf-8"?>
<sst xmlns="http://schemas.openxmlformats.org/spreadsheetml/2006/main" count="254" uniqueCount="52">
  <si>
    <t>MONTHLY EXPENSES</t>
  </si>
  <si>
    <t>Item</t>
  </si>
  <si>
    <t>Amount</t>
  </si>
  <si>
    <t>Rent/mortgage</t>
  </si>
  <si>
    <t>Groceries</t>
  </si>
  <si>
    <t>Auto expenses</t>
  </si>
  <si>
    <t>Personal care</t>
  </si>
  <si>
    <t>Entertainment</t>
  </si>
  <si>
    <t>Miscellaneous</t>
  </si>
  <si>
    <t>July</t>
  </si>
  <si>
    <t>August</t>
  </si>
  <si>
    <t>September</t>
  </si>
  <si>
    <t>October</t>
  </si>
  <si>
    <t>November</t>
  </si>
  <si>
    <t>December</t>
  </si>
  <si>
    <t>Shoes</t>
  </si>
  <si>
    <t>Books and prints</t>
  </si>
  <si>
    <t>Sip</t>
  </si>
  <si>
    <t>Spotify</t>
  </si>
  <si>
    <t>Cafeteria</t>
  </si>
  <si>
    <t>Electricity</t>
  </si>
  <si>
    <t>Money</t>
  </si>
  <si>
    <t>Saved</t>
  </si>
  <si>
    <t>Year</t>
  </si>
  <si>
    <t>January</t>
  </si>
  <si>
    <t>February</t>
  </si>
  <si>
    <t>March</t>
  </si>
  <si>
    <t>April</t>
  </si>
  <si>
    <t>May</t>
  </si>
  <si>
    <t>June</t>
  </si>
  <si>
    <t>Total Yearly Expenses</t>
  </si>
  <si>
    <t>Total Yearly Saving</t>
  </si>
  <si>
    <t>Tour</t>
  </si>
  <si>
    <t>Total</t>
  </si>
  <si>
    <t>MONTH</t>
  </si>
  <si>
    <t>JULY</t>
  </si>
  <si>
    <t>DATE</t>
  </si>
  <si>
    <t>/Day Expense</t>
  </si>
  <si>
    <t>AUGUST</t>
  </si>
  <si>
    <t>SEPTEMBER</t>
  </si>
  <si>
    <t>MID-TERM EXAMS</t>
  </si>
  <si>
    <t>OCTOBER</t>
  </si>
  <si>
    <t>NOVEMBER</t>
  </si>
  <si>
    <t>END-TERM EXAMS</t>
  </si>
  <si>
    <t>DECEMBER</t>
  </si>
  <si>
    <t>JANUARY</t>
  </si>
  <si>
    <t>FEBRUARY</t>
  </si>
  <si>
    <t>MARCH</t>
  </si>
  <si>
    <t>APRIL</t>
  </si>
  <si>
    <t>MAY</t>
  </si>
  <si>
    <t>JUNE</t>
  </si>
  <si>
    <t>SUMMER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</si>
</sst>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/>
    <xf numFmtId="14" fontId="16" fillId="0" borderId="0" xfId="0" applyNumberFormat="1" applyFont="1"/>
    <xf numFmtId="0" fontId="19" fillId="0" borderId="0" xfId="0" applyFont="1" applyAlignment="1">
      <alignment textRotation="255"/>
    </xf>
    <xf numFmtId="164" fontId="1" fillId="0" borderId="0" xfId="1" applyNumberFormat="1" applyFont="1" applyAlignment="1"/>
    <xf numFmtId="0" fontId="19" fillId="0" borderId="0" xfId="0" applyFont="1" applyAlignment="1">
      <alignment vertical="center" textRotation="255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textRotation="255"/>
    </xf>
    <xf numFmtId="0" fontId="19" fillId="0" borderId="0" xfId="0" applyFont="1" applyAlignment="1">
      <alignment horizontal="center" vertical="center" textRotation="255"/>
    </xf>
    <xf numFmtId="0" fontId="16" fillId="0" borderId="0" xfId="0" applyFont="1" applyAlignment="1">
      <alignment horizontal="center" vertical="center" wrapText="1" shrinkToFi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A6A1-575C-418D-81A3-72029CB5AD03}">
  <dimension ref="A2:AQ23"/>
  <sheetViews>
    <sheetView workbookViewId="0">
      <selection activeCell="A3" sqref="A3:A20"/>
    </sheetView>
  </sheetViews>
  <sheetFormatPr defaultRowHeight="15" x14ac:dyDescent="0.25"/>
  <cols>
    <col min="1" max="1" width="27.28515625" customWidth="1"/>
    <col min="2" max="2" width="14.7109375" style="2" customWidth="1"/>
    <col min="3" max="38" width="14.7109375" customWidth="1"/>
    <col min="39" max="39" width="12.42578125" bestFit="1" customWidth="1"/>
    <col min="40" max="40" width="10.42578125" bestFit="1" customWidth="1"/>
    <col min="41" max="41" width="12.42578125" bestFit="1" customWidth="1"/>
  </cols>
  <sheetData>
    <row r="2" spans="1:39" x14ac:dyDescent="0.25">
      <c r="A2" t="s">
        <v>23</v>
      </c>
      <c r="B2">
        <v>2026</v>
      </c>
      <c r="C2">
        <v>2026</v>
      </c>
      <c r="D2">
        <v>2026</v>
      </c>
      <c r="E2">
        <v>2026</v>
      </c>
      <c r="F2">
        <v>2026</v>
      </c>
      <c r="G2">
        <v>2026</v>
      </c>
      <c r="H2">
        <v>2027</v>
      </c>
      <c r="I2">
        <v>2027</v>
      </c>
      <c r="J2">
        <v>2027</v>
      </c>
      <c r="K2">
        <v>2027</v>
      </c>
      <c r="L2">
        <v>2027</v>
      </c>
      <c r="M2">
        <v>2027</v>
      </c>
      <c r="N2">
        <v>2027</v>
      </c>
      <c r="O2">
        <v>2027</v>
      </c>
      <c r="P2">
        <v>2027</v>
      </c>
      <c r="Q2">
        <v>2027</v>
      </c>
      <c r="R2">
        <v>2027</v>
      </c>
      <c r="S2">
        <v>2027</v>
      </c>
      <c r="T2">
        <v>2028</v>
      </c>
      <c r="U2">
        <v>2028</v>
      </c>
      <c r="V2">
        <v>2028</v>
      </c>
      <c r="W2">
        <v>2028</v>
      </c>
      <c r="X2">
        <v>2028</v>
      </c>
      <c r="Y2">
        <v>2028</v>
      </c>
      <c r="Z2">
        <v>2028</v>
      </c>
      <c r="AA2">
        <v>2028</v>
      </c>
      <c r="AB2">
        <v>2028</v>
      </c>
      <c r="AC2">
        <v>2028</v>
      </c>
      <c r="AD2">
        <v>2028</v>
      </c>
      <c r="AE2">
        <v>2028</v>
      </c>
      <c r="AF2">
        <v>2029</v>
      </c>
      <c r="AG2">
        <v>2029</v>
      </c>
      <c r="AH2">
        <v>2029</v>
      </c>
      <c r="AI2">
        <v>2029</v>
      </c>
      <c r="AJ2">
        <v>2029</v>
      </c>
      <c r="AK2">
        <v>2029</v>
      </c>
      <c r="AL2">
        <v>2029</v>
      </c>
    </row>
    <row r="3" spans="1:39" x14ac:dyDescent="0.25">
      <c r="A3" t="s">
        <v>0</v>
      </c>
      <c r="B3" s="2" t="s">
        <v>9</v>
      </c>
      <c r="C3" t="s">
        <v>10</v>
      </c>
      <c r="D3" t="s">
        <v>11</v>
      </c>
      <c r="E3" s="2" t="s">
        <v>12</v>
      </c>
      <c r="F3" t="s">
        <v>13</v>
      </c>
      <c r="G3" t="s">
        <v>14</v>
      </c>
      <c r="H3" s="2" t="s">
        <v>24</v>
      </c>
      <c r="I3" t="s">
        <v>25</v>
      </c>
      <c r="J3" t="s">
        <v>26</v>
      </c>
      <c r="K3" s="2" t="s">
        <v>27</v>
      </c>
      <c r="L3" t="s">
        <v>28</v>
      </c>
      <c r="M3" t="s">
        <v>29</v>
      </c>
      <c r="N3" s="2" t="s">
        <v>9</v>
      </c>
      <c r="O3" t="s">
        <v>10</v>
      </c>
      <c r="P3" t="s">
        <v>11</v>
      </c>
      <c r="Q3" s="2" t="s">
        <v>12</v>
      </c>
      <c r="R3" t="s">
        <v>13</v>
      </c>
      <c r="S3" t="s">
        <v>14</v>
      </c>
      <c r="T3" s="2" t="s">
        <v>24</v>
      </c>
      <c r="U3" t="s">
        <v>25</v>
      </c>
      <c r="V3" t="s">
        <v>26</v>
      </c>
      <c r="W3" s="2" t="s">
        <v>27</v>
      </c>
      <c r="X3" t="s">
        <v>28</v>
      </c>
      <c r="Y3" s="2" t="s">
        <v>29</v>
      </c>
      <c r="Z3" t="s">
        <v>9</v>
      </c>
      <c r="AA3" t="s">
        <v>10</v>
      </c>
      <c r="AB3" s="2" t="s">
        <v>11</v>
      </c>
      <c r="AC3" t="s">
        <v>12</v>
      </c>
      <c r="AD3" s="2" t="s">
        <v>13</v>
      </c>
      <c r="AE3" s="2" t="s">
        <v>14</v>
      </c>
      <c r="AF3" s="2" t="s">
        <v>24</v>
      </c>
      <c r="AG3" s="2" t="s">
        <v>25</v>
      </c>
      <c r="AH3" s="2" t="s">
        <v>26</v>
      </c>
      <c r="AI3" s="2" t="s">
        <v>27</v>
      </c>
      <c r="AJ3" s="2" t="s">
        <v>28</v>
      </c>
      <c r="AK3" s="2" t="s">
        <v>29</v>
      </c>
      <c r="AL3" s="2" t="s">
        <v>9</v>
      </c>
    </row>
    <row r="4" spans="1:39" x14ac:dyDescent="0.25">
      <c r="A4" t="s">
        <v>21</v>
      </c>
      <c r="B4" s="2">
        <v>15000</v>
      </c>
      <c r="C4" s="2">
        <v>15000</v>
      </c>
      <c r="D4" s="2">
        <v>15000</v>
      </c>
      <c r="E4" s="2">
        <v>15000</v>
      </c>
      <c r="F4" s="2">
        <v>15000</v>
      </c>
      <c r="G4" s="2">
        <v>15000</v>
      </c>
      <c r="H4" s="2">
        <v>15000</v>
      </c>
      <c r="I4" s="2">
        <v>15000</v>
      </c>
      <c r="J4" s="2">
        <v>15000</v>
      </c>
      <c r="K4" s="2">
        <v>15000</v>
      </c>
      <c r="L4" s="2">
        <v>15000</v>
      </c>
      <c r="M4" s="2">
        <v>15000</v>
      </c>
      <c r="N4" s="2">
        <v>15000</v>
      </c>
      <c r="O4" s="2">
        <v>15000</v>
      </c>
      <c r="P4" s="2">
        <v>15000</v>
      </c>
      <c r="Q4" s="2">
        <v>15000</v>
      </c>
      <c r="R4" s="2">
        <v>15000</v>
      </c>
      <c r="S4" s="2">
        <v>15000</v>
      </c>
      <c r="T4" s="2">
        <v>15000</v>
      </c>
      <c r="U4" s="2">
        <v>15000</v>
      </c>
      <c r="V4" s="2">
        <v>15000</v>
      </c>
      <c r="W4" s="2">
        <v>15000</v>
      </c>
      <c r="X4" s="2">
        <v>15000</v>
      </c>
      <c r="Y4" s="2">
        <v>15000</v>
      </c>
      <c r="Z4" s="2">
        <v>15000</v>
      </c>
      <c r="AA4" s="2">
        <v>15000</v>
      </c>
      <c r="AB4" s="2">
        <v>15000</v>
      </c>
      <c r="AC4" s="2">
        <v>15000</v>
      </c>
      <c r="AD4" s="2">
        <v>15000</v>
      </c>
      <c r="AE4" s="2">
        <v>15000</v>
      </c>
      <c r="AF4" s="2">
        <v>15000</v>
      </c>
      <c r="AG4" s="2">
        <v>15000</v>
      </c>
      <c r="AH4" s="2">
        <v>15000</v>
      </c>
      <c r="AI4" s="2">
        <v>15000</v>
      </c>
      <c r="AJ4" s="2">
        <v>15000</v>
      </c>
      <c r="AK4" s="2">
        <v>15000</v>
      </c>
      <c r="AL4" s="2">
        <v>15000</v>
      </c>
      <c r="AM4" s="2">
        <f>SUM(B4:AL4)</f>
        <v>555000</v>
      </c>
    </row>
    <row r="5" spans="1:39" x14ac:dyDescent="0.25">
      <c r="A5" t="s">
        <v>1</v>
      </c>
      <c r="B5" s="2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L5" s="2" t="s">
        <v>2</v>
      </c>
      <c r="AM5" s="2">
        <f t="shared" ref="AM5:AM20" si="0">SUM(B5:AL5)</f>
        <v>0</v>
      </c>
    </row>
    <row r="6" spans="1:39" x14ac:dyDescent="0.25">
      <c r="A6" t="s">
        <v>3</v>
      </c>
      <c r="B6" s="1">
        <v>4500</v>
      </c>
      <c r="C6" s="1">
        <v>6500</v>
      </c>
      <c r="D6" s="1">
        <v>6500</v>
      </c>
      <c r="E6" s="1">
        <v>6500</v>
      </c>
      <c r="F6" s="1">
        <v>6500</v>
      </c>
      <c r="G6" s="1">
        <v>6500</v>
      </c>
      <c r="H6" s="1">
        <v>6500</v>
      </c>
      <c r="I6" s="1">
        <v>6500</v>
      </c>
      <c r="J6" s="1">
        <v>6500</v>
      </c>
      <c r="K6" s="1">
        <v>6500</v>
      </c>
      <c r="L6" s="1">
        <v>6500</v>
      </c>
      <c r="M6" s="1">
        <v>4500</v>
      </c>
      <c r="N6" s="1">
        <v>4500</v>
      </c>
      <c r="O6" s="1">
        <v>6500</v>
      </c>
      <c r="P6" s="1">
        <v>6500</v>
      </c>
      <c r="Q6" s="1">
        <v>6500</v>
      </c>
      <c r="R6" s="1">
        <v>6500</v>
      </c>
      <c r="S6" s="1">
        <v>6500</v>
      </c>
      <c r="T6" s="1">
        <v>6500</v>
      </c>
      <c r="U6" s="1">
        <v>6500</v>
      </c>
      <c r="V6" s="1">
        <v>6500</v>
      </c>
      <c r="W6" s="1">
        <v>6500</v>
      </c>
      <c r="X6" s="1">
        <v>6500</v>
      </c>
      <c r="Y6" s="1">
        <v>4500</v>
      </c>
      <c r="Z6" s="1">
        <v>4500</v>
      </c>
      <c r="AA6" s="1">
        <v>6500</v>
      </c>
      <c r="AB6" s="1">
        <v>6500</v>
      </c>
      <c r="AC6" s="1">
        <v>6500</v>
      </c>
      <c r="AD6" s="1">
        <v>6500</v>
      </c>
      <c r="AE6" s="1">
        <v>6500</v>
      </c>
      <c r="AF6" s="1">
        <v>6500</v>
      </c>
      <c r="AG6" s="1">
        <v>6500</v>
      </c>
      <c r="AH6" s="1">
        <v>6500</v>
      </c>
      <c r="AI6" s="1">
        <v>6500</v>
      </c>
      <c r="AJ6" s="1">
        <v>6500</v>
      </c>
      <c r="AK6" s="1">
        <v>4500</v>
      </c>
      <c r="AL6" s="1">
        <v>4500</v>
      </c>
      <c r="AM6" s="2">
        <f t="shared" si="0"/>
        <v>226500</v>
      </c>
    </row>
    <row r="7" spans="1:39" x14ac:dyDescent="0.25">
      <c r="A7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f t="shared" si="0"/>
        <v>0</v>
      </c>
    </row>
    <row r="8" spans="1:39" x14ac:dyDescent="0.25">
      <c r="A8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f t="shared" si="0"/>
        <v>0</v>
      </c>
    </row>
    <row r="9" spans="1:39" x14ac:dyDescent="0.25">
      <c r="A9" t="s">
        <v>19</v>
      </c>
      <c r="B9" s="2">
        <v>1408</v>
      </c>
      <c r="C9" s="2">
        <v>1408</v>
      </c>
      <c r="D9" s="2">
        <v>1408</v>
      </c>
      <c r="E9" s="2">
        <v>1408</v>
      </c>
      <c r="F9" s="2">
        <v>1408</v>
      </c>
      <c r="G9" s="2">
        <v>1408</v>
      </c>
      <c r="H9" s="2">
        <v>1408</v>
      </c>
      <c r="I9" s="2">
        <v>1408</v>
      </c>
      <c r="J9" s="2">
        <v>1408</v>
      </c>
      <c r="K9" s="2">
        <v>1408</v>
      </c>
      <c r="L9" s="2">
        <v>1408</v>
      </c>
      <c r="M9" s="2">
        <v>1408</v>
      </c>
      <c r="N9" s="2">
        <v>1408</v>
      </c>
      <c r="O9" s="2">
        <v>1408</v>
      </c>
      <c r="P9" s="2">
        <v>1408</v>
      </c>
      <c r="Q9" s="2">
        <v>1408</v>
      </c>
      <c r="R9" s="2">
        <v>1408</v>
      </c>
      <c r="S9" s="2">
        <v>1408</v>
      </c>
      <c r="T9" s="2">
        <v>1408</v>
      </c>
      <c r="U9" s="2">
        <v>1408</v>
      </c>
      <c r="V9" s="2">
        <v>1408</v>
      </c>
      <c r="W9" s="2">
        <v>1408</v>
      </c>
      <c r="X9" s="2">
        <v>1408</v>
      </c>
      <c r="Y9" s="2">
        <v>1408</v>
      </c>
      <c r="Z9" s="2">
        <v>1408</v>
      </c>
      <c r="AA9" s="2">
        <v>1408</v>
      </c>
      <c r="AB9" s="2">
        <v>1408</v>
      </c>
      <c r="AC9" s="2">
        <v>1408</v>
      </c>
      <c r="AD9" s="2">
        <v>1408</v>
      </c>
      <c r="AE9" s="2">
        <v>1408</v>
      </c>
      <c r="AF9" s="2">
        <v>1408</v>
      </c>
      <c r="AG9" s="2">
        <v>1408</v>
      </c>
      <c r="AH9" s="2">
        <v>1408</v>
      </c>
      <c r="AI9" s="2">
        <v>1408</v>
      </c>
      <c r="AJ9" s="2">
        <v>1408</v>
      </c>
      <c r="AK9" s="2">
        <v>1408</v>
      </c>
      <c r="AL9" s="2">
        <v>1408</v>
      </c>
      <c r="AM9" s="2">
        <f t="shared" si="0"/>
        <v>52096</v>
      </c>
    </row>
    <row r="10" spans="1:39" x14ac:dyDescent="0.25">
      <c r="A10" t="s">
        <v>4</v>
      </c>
      <c r="B10" s="2">
        <v>1000</v>
      </c>
      <c r="C10" s="2">
        <v>1000</v>
      </c>
      <c r="D10" s="2">
        <v>1000</v>
      </c>
      <c r="E10" s="2">
        <v>1000</v>
      </c>
      <c r="F10" s="2">
        <v>1000</v>
      </c>
      <c r="G10" s="2">
        <v>1000</v>
      </c>
      <c r="H10" s="2">
        <v>1000</v>
      </c>
      <c r="I10" s="2">
        <v>1000</v>
      </c>
      <c r="J10" s="2">
        <v>1000</v>
      </c>
      <c r="K10" s="2">
        <v>1000</v>
      </c>
      <c r="L10" s="2">
        <v>1000</v>
      </c>
      <c r="M10" s="2">
        <v>1000</v>
      </c>
      <c r="N10" s="2">
        <v>1000</v>
      </c>
      <c r="O10" s="2">
        <v>1000</v>
      </c>
      <c r="P10" s="2">
        <v>1000</v>
      </c>
      <c r="Q10" s="2">
        <v>1000</v>
      </c>
      <c r="R10" s="2">
        <v>1000</v>
      </c>
      <c r="S10" s="2">
        <v>1000</v>
      </c>
      <c r="T10" s="2">
        <v>1000</v>
      </c>
      <c r="U10" s="2">
        <v>1000</v>
      </c>
      <c r="V10" s="2">
        <v>1000</v>
      </c>
      <c r="W10" s="2">
        <v>1000</v>
      </c>
      <c r="X10" s="2">
        <v>1000</v>
      </c>
      <c r="Y10" s="2">
        <v>1000</v>
      </c>
      <c r="Z10" s="2">
        <v>1000</v>
      </c>
      <c r="AA10" s="2">
        <v>1000</v>
      </c>
      <c r="AB10" s="2">
        <v>1000</v>
      </c>
      <c r="AC10" s="2">
        <v>1000</v>
      </c>
      <c r="AD10" s="2">
        <v>1000</v>
      </c>
      <c r="AE10" s="2">
        <v>1000</v>
      </c>
      <c r="AF10" s="2">
        <v>1000</v>
      </c>
      <c r="AG10" s="2">
        <v>1000</v>
      </c>
      <c r="AH10" s="2">
        <v>1000</v>
      </c>
      <c r="AI10" s="2">
        <v>1000</v>
      </c>
      <c r="AJ10" s="2">
        <v>1000</v>
      </c>
      <c r="AK10" s="2">
        <v>1000</v>
      </c>
      <c r="AL10" s="2">
        <v>1000</v>
      </c>
      <c r="AM10" s="2">
        <f t="shared" si="0"/>
        <v>37000</v>
      </c>
    </row>
    <row r="11" spans="1:39" x14ac:dyDescent="0.25">
      <c r="A11" t="s">
        <v>32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f t="shared" si="0"/>
        <v>0</v>
      </c>
    </row>
    <row r="12" spans="1:39" x14ac:dyDescent="0.25">
      <c r="A12" t="s">
        <v>5</v>
      </c>
      <c r="B12" s="2">
        <v>800</v>
      </c>
      <c r="C12" s="2">
        <v>2000</v>
      </c>
      <c r="D12" s="2">
        <v>2000</v>
      </c>
      <c r="E12" s="2">
        <v>2000</v>
      </c>
      <c r="F12" s="2">
        <v>2000</v>
      </c>
      <c r="G12" s="2">
        <v>2000</v>
      </c>
      <c r="H12" s="2">
        <v>2000</v>
      </c>
      <c r="I12" s="2">
        <v>2000</v>
      </c>
      <c r="J12" s="2">
        <v>2000</v>
      </c>
      <c r="K12" s="2">
        <v>2000</v>
      </c>
      <c r="L12" s="2">
        <v>2000</v>
      </c>
      <c r="M12" s="2">
        <v>800</v>
      </c>
      <c r="N12" s="2">
        <v>800</v>
      </c>
      <c r="O12" s="2">
        <v>2000</v>
      </c>
      <c r="P12" s="2">
        <v>2000</v>
      </c>
      <c r="Q12" s="2">
        <v>2000</v>
      </c>
      <c r="R12" s="2">
        <v>2000</v>
      </c>
      <c r="S12" s="2">
        <v>2000</v>
      </c>
      <c r="T12" s="2">
        <v>2000</v>
      </c>
      <c r="U12" s="2">
        <v>2000</v>
      </c>
      <c r="V12" s="2">
        <v>2000</v>
      </c>
      <c r="W12" s="2">
        <v>2000</v>
      </c>
      <c r="X12" s="2">
        <v>2000</v>
      </c>
      <c r="Y12" s="2">
        <v>800</v>
      </c>
      <c r="Z12" s="2">
        <v>800</v>
      </c>
      <c r="AA12" s="2">
        <v>2000</v>
      </c>
      <c r="AB12" s="2">
        <v>2000</v>
      </c>
      <c r="AC12" s="2">
        <v>2000</v>
      </c>
      <c r="AD12" s="2">
        <v>2000</v>
      </c>
      <c r="AE12" s="2">
        <v>2000</v>
      </c>
      <c r="AF12" s="2">
        <v>2000</v>
      </c>
      <c r="AG12" s="2">
        <v>2000</v>
      </c>
      <c r="AH12" s="2">
        <v>2000</v>
      </c>
      <c r="AI12" s="2">
        <v>2000</v>
      </c>
      <c r="AJ12" s="2">
        <v>2000</v>
      </c>
      <c r="AK12" s="2">
        <v>800</v>
      </c>
      <c r="AL12" s="2">
        <v>800</v>
      </c>
      <c r="AM12" s="2">
        <f t="shared" si="0"/>
        <v>65600</v>
      </c>
    </row>
    <row r="13" spans="1:39" x14ac:dyDescent="0.25">
      <c r="A13" t="s">
        <v>16</v>
      </c>
      <c r="B13" s="2">
        <v>500</v>
      </c>
      <c r="C13" s="2">
        <v>500</v>
      </c>
      <c r="D13" s="2">
        <v>500</v>
      </c>
      <c r="E13" s="2">
        <v>500</v>
      </c>
      <c r="F13" s="2">
        <v>500</v>
      </c>
      <c r="G13" s="2">
        <v>500</v>
      </c>
      <c r="H13" s="2">
        <v>500</v>
      </c>
      <c r="I13" s="2">
        <v>500</v>
      </c>
      <c r="J13" s="2">
        <v>500</v>
      </c>
      <c r="K13" s="2">
        <v>500</v>
      </c>
      <c r="L13" s="2">
        <v>500</v>
      </c>
      <c r="M13" s="2">
        <v>500</v>
      </c>
      <c r="N13" s="2">
        <v>500</v>
      </c>
      <c r="O13" s="2">
        <v>500</v>
      </c>
      <c r="P13" s="2">
        <v>500</v>
      </c>
      <c r="Q13" s="2">
        <v>500</v>
      </c>
      <c r="R13" s="2">
        <v>500</v>
      </c>
      <c r="S13" s="2">
        <v>500</v>
      </c>
      <c r="T13" s="2">
        <v>500</v>
      </c>
      <c r="U13" s="2">
        <v>500</v>
      </c>
      <c r="V13" s="2">
        <v>500</v>
      </c>
      <c r="W13" s="2">
        <v>500</v>
      </c>
      <c r="X13" s="2">
        <v>500</v>
      </c>
      <c r="Y13" s="2">
        <v>500</v>
      </c>
      <c r="Z13" s="2">
        <v>500</v>
      </c>
      <c r="AA13" s="2">
        <v>500</v>
      </c>
      <c r="AB13" s="2">
        <v>500</v>
      </c>
      <c r="AC13" s="2">
        <v>500</v>
      </c>
      <c r="AD13" s="2">
        <v>500</v>
      </c>
      <c r="AE13" s="2">
        <v>500</v>
      </c>
      <c r="AF13" s="2">
        <v>500</v>
      </c>
      <c r="AG13" s="2">
        <v>500</v>
      </c>
      <c r="AH13" s="2">
        <v>500</v>
      </c>
      <c r="AI13" s="2">
        <v>500</v>
      </c>
      <c r="AJ13" s="2">
        <v>500</v>
      </c>
      <c r="AK13" s="2">
        <v>500</v>
      </c>
      <c r="AL13" s="2">
        <v>500</v>
      </c>
      <c r="AM13" s="2">
        <f t="shared" si="0"/>
        <v>18500</v>
      </c>
    </row>
    <row r="14" spans="1:39" x14ac:dyDescent="0.25">
      <c r="A14" t="s">
        <v>18</v>
      </c>
      <c r="B14" s="2">
        <v>69</v>
      </c>
      <c r="C14" s="2">
        <v>69</v>
      </c>
      <c r="D14" s="2">
        <v>69</v>
      </c>
      <c r="E14" s="2">
        <v>69</v>
      </c>
      <c r="F14" s="2">
        <v>69</v>
      </c>
      <c r="G14" s="2">
        <v>69</v>
      </c>
      <c r="H14" s="2">
        <v>69</v>
      </c>
      <c r="I14" s="2">
        <v>69</v>
      </c>
      <c r="J14" s="2">
        <v>69</v>
      </c>
      <c r="K14" s="2">
        <v>69</v>
      </c>
      <c r="L14" s="2">
        <v>69</v>
      </c>
      <c r="M14" s="2">
        <v>69</v>
      </c>
      <c r="N14" s="2">
        <v>69</v>
      </c>
      <c r="O14" s="2">
        <v>69</v>
      </c>
      <c r="P14" s="2">
        <v>69</v>
      </c>
      <c r="Q14" s="2">
        <v>69</v>
      </c>
      <c r="R14" s="2">
        <v>69</v>
      </c>
      <c r="S14" s="2">
        <v>69</v>
      </c>
      <c r="T14" s="2">
        <v>69</v>
      </c>
      <c r="U14" s="2">
        <v>69</v>
      </c>
      <c r="V14" s="2">
        <v>69</v>
      </c>
      <c r="W14" s="2">
        <v>69</v>
      </c>
      <c r="X14" s="2">
        <v>69</v>
      </c>
      <c r="Y14" s="2">
        <v>69</v>
      </c>
      <c r="Z14" s="2">
        <v>69</v>
      </c>
      <c r="AA14" s="2">
        <v>69</v>
      </c>
      <c r="AB14" s="2">
        <v>69</v>
      </c>
      <c r="AC14" s="2">
        <v>69</v>
      </c>
      <c r="AD14" s="2">
        <v>69</v>
      </c>
      <c r="AE14" s="2">
        <v>69</v>
      </c>
      <c r="AF14" s="2">
        <v>69</v>
      </c>
      <c r="AG14" s="2">
        <v>69</v>
      </c>
      <c r="AH14" s="2">
        <v>69</v>
      </c>
      <c r="AI14" s="2">
        <v>69</v>
      </c>
      <c r="AJ14" s="2">
        <v>69</v>
      </c>
      <c r="AK14" s="2">
        <v>69</v>
      </c>
      <c r="AL14" s="2">
        <v>69</v>
      </c>
      <c r="AM14" s="2">
        <f t="shared" si="0"/>
        <v>2553</v>
      </c>
    </row>
    <row r="15" spans="1:39" x14ac:dyDescent="0.25">
      <c r="A15" t="s">
        <v>17</v>
      </c>
      <c r="B15" s="2">
        <v>86</v>
      </c>
      <c r="C15" s="2">
        <v>86</v>
      </c>
      <c r="D15" s="2">
        <v>86</v>
      </c>
      <c r="E15" s="2">
        <v>86</v>
      </c>
      <c r="F15" s="2">
        <v>86</v>
      </c>
      <c r="G15" s="2">
        <v>86</v>
      </c>
      <c r="H15" s="2">
        <v>86</v>
      </c>
      <c r="I15" s="2">
        <v>86</v>
      </c>
      <c r="J15" s="2">
        <v>86</v>
      </c>
      <c r="K15" s="2">
        <v>86</v>
      </c>
      <c r="L15" s="2">
        <v>86</v>
      </c>
      <c r="M15" s="2">
        <v>86</v>
      </c>
      <c r="N15" s="2">
        <v>86</v>
      </c>
      <c r="O15" s="2">
        <v>86</v>
      </c>
      <c r="P15" s="2">
        <v>86</v>
      </c>
      <c r="Q15" s="2">
        <v>86</v>
      </c>
      <c r="R15" s="2">
        <v>86</v>
      </c>
      <c r="S15" s="2">
        <v>86</v>
      </c>
      <c r="T15" s="2">
        <v>86</v>
      </c>
      <c r="U15" s="2">
        <v>86</v>
      </c>
      <c r="V15" s="2">
        <v>86</v>
      </c>
      <c r="W15" s="2">
        <v>86</v>
      </c>
      <c r="X15" s="2">
        <v>86</v>
      </c>
      <c r="Y15" s="2">
        <v>86</v>
      </c>
      <c r="Z15" s="2">
        <v>86</v>
      </c>
      <c r="AA15" s="2">
        <v>86</v>
      </c>
      <c r="AB15" s="2">
        <v>86</v>
      </c>
      <c r="AC15" s="2">
        <v>86</v>
      </c>
      <c r="AD15" s="2">
        <v>86</v>
      </c>
      <c r="AE15" s="2">
        <v>86</v>
      </c>
      <c r="AF15" s="2">
        <v>86</v>
      </c>
      <c r="AG15" s="2">
        <v>86</v>
      </c>
      <c r="AH15" s="2">
        <v>86</v>
      </c>
      <c r="AI15" s="2">
        <v>86</v>
      </c>
      <c r="AJ15" s="2">
        <v>86</v>
      </c>
      <c r="AK15" s="2">
        <v>86</v>
      </c>
      <c r="AL15" s="2">
        <v>86</v>
      </c>
      <c r="AM15" s="2">
        <f t="shared" si="0"/>
        <v>3182</v>
      </c>
    </row>
    <row r="16" spans="1:39" x14ac:dyDescent="0.25">
      <c r="A16" t="s">
        <v>6</v>
      </c>
      <c r="B16" s="2">
        <v>1500</v>
      </c>
      <c r="C16" s="2">
        <v>1500</v>
      </c>
      <c r="D16" s="2">
        <v>1500</v>
      </c>
      <c r="E16" s="2">
        <v>1500</v>
      </c>
      <c r="F16" s="2">
        <v>1500</v>
      </c>
      <c r="G16" s="2">
        <v>1500</v>
      </c>
      <c r="H16" s="2">
        <v>1500</v>
      </c>
      <c r="I16" s="2">
        <v>1500</v>
      </c>
      <c r="J16" s="2">
        <v>1500</v>
      </c>
      <c r="K16" s="2">
        <v>1500</v>
      </c>
      <c r="L16" s="2">
        <v>1500</v>
      </c>
      <c r="M16" s="2">
        <v>1500</v>
      </c>
      <c r="N16" s="2">
        <v>1500</v>
      </c>
      <c r="O16" s="2">
        <v>1500</v>
      </c>
      <c r="P16" s="2">
        <v>1500</v>
      </c>
      <c r="Q16" s="2">
        <v>1500</v>
      </c>
      <c r="R16" s="2">
        <v>1500</v>
      </c>
      <c r="S16" s="2">
        <v>1500</v>
      </c>
      <c r="T16" s="2">
        <v>1500</v>
      </c>
      <c r="U16" s="2">
        <v>1500</v>
      </c>
      <c r="V16" s="2">
        <v>1500</v>
      </c>
      <c r="W16" s="2">
        <v>1500</v>
      </c>
      <c r="X16" s="2">
        <v>1500</v>
      </c>
      <c r="Y16" s="2">
        <v>1500</v>
      </c>
      <c r="Z16" s="2">
        <v>1500</v>
      </c>
      <c r="AA16" s="2">
        <v>1500</v>
      </c>
      <c r="AB16" s="2">
        <v>1500</v>
      </c>
      <c r="AC16" s="2">
        <v>1500</v>
      </c>
      <c r="AD16" s="2">
        <v>1500</v>
      </c>
      <c r="AE16" s="2">
        <v>1500</v>
      </c>
      <c r="AF16" s="2">
        <v>1500</v>
      </c>
      <c r="AG16" s="2">
        <v>1500</v>
      </c>
      <c r="AH16" s="2">
        <v>1500</v>
      </c>
      <c r="AI16" s="2">
        <v>1500</v>
      </c>
      <c r="AJ16" s="2">
        <v>1500</v>
      </c>
      <c r="AK16" s="2">
        <v>1500</v>
      </c>
      <c r="AL16" s="2">
        <v>1500</v>
      </c>
      <c r="AM16" s="2">
        <f t="shared" si="0"/>
        <v>55500</v>
      </c>
    </row>
    <row r="17" spans="1:43" x14ac:dyDescent="0.25">
      <c r="A17" t="s">
        <v>7</v>
      </c>
      <c r="B17" s="2">
        <v>500</v>
      </c>
      <c r="C17" s="2">
        <v>500</v>
      </c>
      <c r="D17" s="2">
        <v>500</v>
      </c>
      <c r="E17" s="2">
        <v>500</v>
      </c>
      <c r="F17" s="2">
        <v>500</v>
      </c>
      <c r="G17" s="2">
        <v>500</v>
      </c>
      <c r="H17" s="2">
        <v>500</v>
      </c>
      <c r="I17" s="2">
        <v>500</v>
      </c>
      <c r="J17" s="2">
        <v>500</v>
      </c>
      <c r="K17" s="2">
        <v>500</v>
      </c>
      <c r="L17" s="2">
        <v>500</v>
      </c>
      <c r="M17" s="2">
        <v>500</v>
      </c>
      <c r="N17" s="2">
        <v>500</v>
      </c>
      <c r="O17" s="2">
        <v>500</v>
      </c>
      <c r="P17" s="2">
        <v>500</v>
      </c>
      <c r="Q17" s="2">
        <v>500</v>
      </c>
      <c r="R17" s="2">
        <v>500</v>
      </c>
      <c r="S17" s="2">
        <v>500</v>
      </c>
      <c r="T17" s="2">
        <v>500</v>
      </c>
      <c r="U17" s="2">
        <v>500</v>
      </c>
      <c r="V17" s="2">
        <v>500</v>
      </c>
      <c r="W17" s="2">
        <v>500</v>
      </c>
      <c r="X17" s="2">
        <v>500</v>
      </c>
      <c r="Y17" s="2">
        <v>500</v>
      </c>
      <c r="Z17" s="2">
        <v>500</v>
      </c>
      <c r="AA17" s="2">
        <v>500</v>
      </c>
      <c r="AB17" s="2">
        <v>500</v>
      </c>
      <c r="AC17" s="2">
        <v>500</v>
      </c>
      <c r="AD17" s="2">
        <v>500</v>
      </c>
      <c r="AE17" s="2">
        <v>500</v>
      </c>
      <c r="AF17" s="2">
        <v>500</v>
      </c>
      <c r="AG17" s="2">
        <v>500</v>
      </c>
      <c r="AH17" s="2">
        <v>500</v>
      </c>
      <c r="AI17" s="2">
        <v>500</v>
      </c>
      <c r="AJ17" s="2">
        <v>500</v>
      </c>
      <c r="AK17" s="2">
        <v>500</v>
      </c>
      <c r="AL17" s="2">
        <v>500</v>
      </c>
      <c r="AM17" s="2">
        <f t="shared" si="0"/>
        <v>18500</v>
      </c>
    </row>
    <row r="18" spans="1:43" x14ac:dyDescent="0.25">
      <c r="A18" t="s">
        <v>8</v>
      </c>
      <c r="B18" s="2">
        <v>2500</v>
      </c>
      <c r="C18" s="2">
        <v>500</v>
      </c>
      <c r="D18" s="2">
        <v>500</v>
      </c>
      <c r="E18" s="2">
        <v>500</v>
      </c>
      <c r="F18" s="2">
        <v>500</v>
      </c>
      <c r="G18" s="2">
        <v>500</v>
      </c>
      <c r="H18" s="2">
        <v>500</v>
      </c>
      <c r="I18" s="2">
        <v>500</v>
      </c>
      <c r="J18" s="2">
        <v>500</v>
      </c>
      <c r="K18" s="2">
        <v>500</v>
      </c>
      <c r="L18" s="2">
        <v>500</v>
      </c>
      <c r="M18" s="2">
        <v>2500</v>
      </c>
      <c r="N18" s="2">
        <v>2500</v>
      </c>
      <c r="O18" s="2">
        <v>500</v>
      </c>
      <c r="P18" s="2">
        <v>500</v>
      </c>
      <c r="Q18" s="2">
        <v>500</v>
      </c>
      <c r="R18" s="2">
        <v>500</v>
      </c>
      <c r="S18" s="2">
        <v>500</v>
      </c>
      <c r="T18" s="2">
        <v>500</v>
      </c>
      <c r="U18" s="2">
        <v>500</v>
      </c>
      <c r="V18" s="2">
        <v>500</v>
      </c>
      <c r="W18" s="2">
        <v>500</v>
      </c>
      <c r="X18" s="2">
        <v>500</v>
      </c>
      <c r="Y18" s="2">
        <v>2500</v>
      </c>
      <c r="Z18" s="2">
        <v>2500</v>
      </c>
      <c r="AA18" s="2">
        <v>500</v>
      </c>
      <c r="AB18" s="2">
        <v>500</v>
      </c>
      <c r="AC18" s="2">
        <v>500</v>
      </c>
      <c r="AD18" s="2">
        <v>500</v>
      </c>
      <c r="AE18" s="2">
        <v>500</v>
      </c>
      <c r="AF18" s="2">
        <v>500</v>
      </c>
      <c r="AG18" s="2">
        <v>500</v>
      </c>
      <c r="AH18" s="2">
        <v>500</v>
      </c>
      <c r="AI18" s="2">
        <v>500</v>
      </c>
      <c r="AJ18" s="2">
        <v>500</v>
      </c>
      <c r="AK18" s="2">
        <v>2500</v>
      </c>
      <c r="AL18" s="2">
        <v>2500</v>
      </c>
      <c r="AM18" s="2">
        <f t="shared" si="0"/>
        <v>32500</v>
      </c>
    </row>
    <row r="19" spans="1:43" x14ac:dyDescent="0.25">
      <c r="B19" s="2">
        <f>SUM(B6:B18)</f>
        <v>12863</v>
      </c>
      <c r="C19" s="2">
        <f t="shared" ref="C19:G19" si="1">SUM(C6:C18)</f>
        <v>14063</v>
      </c>
      <c r="D19" s="2">
        <f t="shared" si="1"/>
        <v>14063</v>
      </c>
      <c r="E19" s="2">
        <f t="shared" si="1"/>
        <v>14063</v>
      </c>
      <c r="F19" s="2">
        <f t="shared" si="1"/>
        <v>14063</v>
      </c>
      <c r="G19" s="2">
        <f t="shared" si="1"/>
        <v>14063</v>
      </c>
      <c r="H19" s="2">
        <f t="shared" ref="H19" si="2">SUM(H6:H18)</f>
        <v>14063</v>
      </c>
      <c r="I19" s="2">
        <f t="shared" ref="I19" si="3">SUM(I6:I18)</f>
        <v>14063</v>
      </c>
      <c r="J19" s="2">
        <f t="shared" ref="J19" si="4">SUM(J6:J18)</f>
        <v>14063</v>
      </c>
      <c r="K19" s="2">
        <f t="shared" ref="K19" si="5">SUM(K6:K18)</f>
        <v>14063</v>
      </c>
      <c r="L19" s="2">
        <f t="shared" ref="L19" si="6">SUM(L6:L18)</f>
        <v>14063</v>
      </c>
      <c r="M19" s="2">
        <f>SUM(M6:M18)</f>
        <v>12863</v>
      </c>
      <c r="N19" s="2">
        <f>SUM(N6:N18)</f>
        <v>12863</v>
      </c>
      <c r="O19" s="2">
        <f t="shared" ref="O19" si="7">SUM(O6:O18)</f>
        <v>14063</v>
      </c>
      <c r="P19" s="2">
        <f t="shared" ref="P19" si="8">SUM(P6:P18)</f>
        <v>14063</v>
      </c>
      <c r="Q19" s="2">
        <f t="shared" ref="Q19" si="9">SUM(Q6:Q18)</f>
        <v>14063</v>
      </c>
      <c r="R19" s="2">
        <f t="shared" ref="R19" si="10">SUM(R6:R18)</f>
        <v>14063</v>
      </c>
      <c r="S19" s="2">
        <f t="shared" ref="S19" si="11">SUM(S6:S18)</f>
        <v>14063</v>
      </c>
      <c r="T19" s="2">
        <f t="shared" ref="T19" si="12">SUM(T6:T18)</f>
        <v>14063</v>
      </c>
      <c r="U19" s="2">
        <f t="shared" ref="U19" si="13">SUM(U6:U18)</f>
        <v>14063</v>
      </c>
      <c r="V19" s="2">
        <f t="shared" ref="V19" si="14">SUM(V6:V18)</f>
        <v>14063</v>
      </c>
      <c r="W19" s="2">
        <f t="shared" ref="W19" si="15">SUM(W6:W18)</f>
        <v>14063</v>
      </c>
      <c r="X19" s="2">
        <f t="shared" ref="X19" si="16">SUM(X6:X18)</f>
        <v>14063</v>
      </c>
      <c r="Y19" s="2">
        <f>SUM(Y6:Y18)</f>
        <v>12863</v>
      </c>
      <c r="Z19" s="2">
        <f>SUM(Z6:Z18)</f>
        <v>12863</v>
      </c>
      <c r="AA19" s="2">
        <f t="shared" ref="AA19" si="17">SUM(AA6:AA18)</f>
        <v>14063</v>
      </c>
      <c r="AB19" s="2">
        <f t="shared" ref="AB19" si="18">SUM(AB6:AB18)</f>
        <v>14063</v>
      </c>
      <c r="AC19" s="2">
        <f t="shared" ref="AC19" si="19">SUM(AC6:AC18)</f>
        <v>14063</v>
      </c>
      <c r="AD19" s="2">
        <f t="shared" ref="AD19" si="20">SUM(AD6:AD18)</f>
        <v>14063</v>
      </c>
      <c r="AE19" s="2">
        <f t="shared" ref="AE19" si="21">SUM(AE6:AE18)</f>
        <v>14063</v>
      </c>
      <c r="AF19" s="2">
        <f t="shared" ref="AF19" si="22">SUM(AF6:AF18)</f>
        <v>14063</v>
      </c>
      <c r="AG19" s="2">
        <f t="shared" ref="AG19" si="23">SUM(AG6:AG18)</f>
        <v>14063</v>
      </c>
      <c r="AH19" s="2">
        <f t="shared" ref="AH19" si="24">SUM(AH6:AH18)</f>
        <v>14063</v>
      </c>
      <c r="AI19" s="2">
        <f t="shared" ref="AI19" si="25">SUM(AI6:AI18)</f>
        <v>14063</v>
      </c>
      <c r="AJ19" s="2">
        <f t="shared" ref="AJ19" si="26">SUM(AJ6:AJ18)</f>
        <v>14063</v>
      </c>
      <c r="AK19" s="2">
        <f>SUM(AK6:AK18)</f>
        <v>12863</v>
      </c>
      <c r="AL19" s="2">
        <f>SUM(AL6:AL18)</f>
        <v>12863</v>
      </c>
      <c r="AM19" s="2">
        <f t="shared" si="0"/>
        <v>511931</v>
      </c>
    </row>
    <row r="20" spans="1:43" x14ac:dyDescent="0.25">
      <c r="A20" t="s">
        <v>22</v>
      </c>
      <c r="B20" s="2">
        <f>SUM(B4-B19)</f>
        <v>2137</v>
      </c>
      <c r="C20" s="2">
        <f t="shared" ref="C20:G20" si="27">SUM(C4-C19)</f>
        <v>937</v>
      </c>
      <c r="D20" s="2">
        <f t="shared" si="27"/>
        <v>937</v>
      </c>
      <c r="E20" s="2">
        <f t="shared" si="27"/>
        <v>937</v>
      </c>
      <c r="F20" s="2">
        <f t="shared" si="27"/>
        <v>937</v>
      </c>
      <c r="G20" s="2">
        <f t="shared" si="27"/>
        <v>937</v>
      </c>
      <c r="H20" s="2">
        <f t="shared" ref="H20" si="28">SUM(H4-H19)</f>
        <v>937</v>
      </c>
      <c r="I20" s="2">
        <f t="shared" ref="I20" si="29">SUM(I4-I19)</f>
        <v>937</v>
      </c>
      <c r="J20" s="2">
        <f t="shared" ref="J20" si="30">SUM(J4-J19)</f>
        <v>937</v>
      </c>
      <c r="K20" s="2">
        <f t="shared" ref="K20" si="31">SUM(K4-K19)</f>
        <v>937</v>
      </c>
      <c r="L20" s="2">
        <f t="shared" ref="L20" si="32">SUM(L4-L19)</f>
        <v>937</v>
      </c>
      <c r="M20" s="2">
        <f>SUM(M4-M19)</f>
        <v>2137</v>
      </c>
      <c r="N20" s="2">
        <f>SUM(N4-N19)</f>
        <v>2137</v>
      </c>
      <c r="O20" s="2">
        <f t="shared" ref="O20" si="33">SUM(O4-O19)</f>
        <v>937</v>
      </c>
      <c r="P20" s="2">
        <f t="shared" ref="P20" si="34">SUM(P4-P19)</f>
        <v>937</v>
      </c>
      <c r="Q20" s="2">
        <f t="shared" ref="Q20" si="35">SUM(Q4-Q19)</f>
        <v>937</v>
      </c>
      <c r="R20" s="2">
        <f t="shared" ref="R20" si="36">SUM(R4-R19)</f>
        <v>937</v>
      </c>
      <c r="S20" s="2">
        <f t="shared" ref="S20" si="37">SUM(S4-S19)</f>
        <v>937</v>
      </c>
      <c r="T20" s="2">
        <f t="shared" ref="T20" si="38">SUM(T4-T19)</f>
        <v>937</v>
      </c>
      <c r="U20" s="2">
        <f t="shared" ref="U20" si="39">SUM(U4-U19)</f>
        <v>937</v>
      </c>
      <c r="V20" s="2">
        <f t="shared" ref="V20" si="40">SUM(V4-V19)</f>
        <v>937</v>
      </c>
      <c r="W20" s="2">
        <f t="shared" ref="W20" si="41">SUM(W4-W19)</f>
        <v>937</v>
      </c>
      <c r="X20" s="2">
        <f t="shared" ref="X20" si="42">SUM(X4-X19)</f>
        <v>937</v>
      </c>
      <c r="Y20" s="2">
        <f>SUM(Y4-Y19)</f>
        <v>2137</v>
      </c>
      <c r="Z20" s="2">
        <f>SUM(Z4-Z19)</f>
        <v>2137</v>
      </c>
      <c r="AA20" s="2">
        <f t="shared" ref="AA20" si="43">SUM(AA4-AA19)</f>
        <v>937</v>
      </c>
      <c r="AB20" s="2">
        <f t="shared" ref="AB20" si="44">SUM(AB4-AB19)</f>
        <v>937</v>
      </c>
      <c r="AC20" s="2">
        <f t="shared" ref="AC20" si="45">SUM(AC4-AC19)</f>
        <v>937</v>
      </c>
      <c r="AD20" s="2">
        <f t="shared" ref="AD20" si="46">SUM(AD4-AD19)</f>
        <v>937</v>
      </c>
      <c r="AE20" s="2">
        <f t="shared" ref="AE20" si="47">SUM(AE4-AE19)</f>
        <v>937</v>
      </c>
      <c r="AF20" s="2">
        <f t="shared" ref="AF20" si="48">SUM(AF4-AF19)</f>
        <v>937</v>
      </c>
      <c r="AG20" s="2">
        <f t="shared" ref="AG20" si="49">SUM(AG4-AG19)</f>
        <v>937</v>
      </c>
      <c r="AH20" s="2">
        <f t="shared" ref="AH20" si="50">SUM(AH4-AH19)</f>
        <v>937</v>
      </c>
      <c r="AI20" s="2">
        <f t="shared" ref="AI20" si="51">SUM(AI4-AI19)</f>
        <v>937</v>
      </c>
      <c r="AJ20" s="2">
        <f t="shared" ref="AJ20" si="52">SUM(AJ4-AJ19)</f>
        <v>937</v>
      </c>
      <c r="AK20" s="2">
        <f>SUM(AK4-AK19)</f>
        <v>2137</v>
      </c>
      <c r="AL20" s="2">
        <f>SUM(AL4-AL19)</f>
        <v>2137</v>
      </c>
      <c r="AM20" s="2">
        <f t="shared" si="0"/>
        <v>43069</v>
      </c>
    </row>
    <row r="21" spans="1:43" x14ac:dyDescent="0.25">
      <c r="A21" t="s">
        <v>31</v>
      </c>
      <c r="B21" s="15">
        <f>SUM(B20+C20+D20+E20+F20+G20)</f>
        <v>6822</v>
      </c>
      <c r="C21" s="15"/>
      <c r="D21" s="15"/>
      <c r="E21" s="15"/>
      <c r="F21" s="15"/>
      <c r="G21" s="15"/>
      <c r="H21" s="15">
        <f>SUM(H20+I20+J20+K20+L20+M20+N20+O20+P20+Q20+R20+S20)</f>
        <v>13644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5">
        <f>SUM(T20+U20+V20+W20+X20+Y20+Z20+AA20+AB20+AC20+AD20+AE20)</f>
        <v>13644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5">
        <f>SUM(AF20+AG20+AH20+AI20+AI20+AJ20+AK20+AL20)</f>
        <v>9896</v>
      </c>
      <c r="AG21" s="16"/>
      <c r="AH21" s="16"/>
      <c r="AI21" s="16"/>
      <c r="AJ21" s="16"/>
      <c r="AK21" s="16"/>
      <c r="AL21" s="16"/>
      <c r="AM21" s="2">
        <f>SUM(B21:AL21)</f>
        <v>44006</v>
      </c>
      <c r="AN21" s="3"/>
      <c r="AO21" s="3"/>
      <c r="AP21" s="3"/>
      <c r="AQ21" s="3"/>
    </row>
    <row r="22" spans="1:43" x14ac:dyDescent="0.25">
      <c r="A22" t="s">
        <v>30</v>
      </c>
      <c r="B22" s="15">
        <f>SUM(B19:G19)</f>
        <v>83178</v>
      </c>
      <c r="C22" s="15"/>
      <c r="D22" s="15"/>
      <c r="E22" s="15"/>
      <c r="F22" s="15"/>
      <c r="G22" s="15"/>
      <c r="H22" s="15">
        <f>SUM(H21,H19:S19)</f>
        <v>180000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>
        <f>SUM(T21,T19:AE19)</f>
        <v>180000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5">
        <f>SUM(AF21,AF19:AL19)</f>
        <v>105937</v>
      </c>
      <c r="AG22" s="16"/>
      <c r="AH22" s="16"/>
      <c r="AI22" s="16"/>
      <c r="AJ22" s="16"/>
      <c r="AK22" s="16"/>
      <c r="AL22" s="16"/>
      <c r="AM22" s="2">
        <f>SUM(B22:AL22)</f>
        <v>549115</v>
      </c>
    </row>
    <row r="23" spans="1:43" x14ac:dyDescent="0.25">
      <c r="AN23" s="2">
        <f>SUM(AM4-AM22)</f>
        <v>5885</v>
      </c>
      <c r="AO23" s="2">
        <f>SUM(AM4-AM20)</f>
        <v>511931</v>
      </c>
    </row>
  </sheetData>
  <mergeCells count="8">
    <mergeCell ref="AF21:AL21"/>
    <mergeCell ref="AF22:AL22"/>
    <mergeCell ref="B21:G21"/>
    <mergeCell ref="B22:G22"/>
    <mergeCell ref="H21:S21"/>
    <mergeCell ref="H22:S22"/>
    <mergeCell ref="T21:AE21"/>
    <mergeCell ref="T22:AE2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5C0E-62F0-418E-88AE-60DB71713BAB}">
  <dimension ref="A1:AE432"/>
  <sheetViews>
    <sheetView tabSelected="1" workbookViewId="0">
      <selection activeCell="L406" sqref="L406"/>
    </sheetView>
  </sheetViews>
  <sheetFormatPr defaultRowHeight="15" x14ac:dyDescent="0.25"/>
  <cols>
    <col min="2" max="2" width="10.7109375" customWidth="1"/>
    <col min="3" max="19" width="15.7109375" customWidth="1"/>
  </cols>
  <sheetData>
    <row r="1" spans="1:31" ht="15.75" x14ac:dyDescent="0.25">
      <c r="A1" s="4" t="s">
        <v>34</v>
      </c>
      <c r="B1" s="5" t="s">
        <v>36</v>
      </c>
      <c r="C1" s="5" t="s">
        <v>37</v>
      </c>
      <c r="D1" s="5" t="s">
        <v>19</v>
      </c>
      <c r="E1" s="5" t="s">
        <v>4</v>
      </c>
      <c r="F1" s="5" t="s">
        <v>5</v>
      </c>
      <c r="G1" s="5" t="s">
        <v>16</v>
      </c>
      <c r="H1" s="5" t="s">
        <v>6</v>
      </c>
      <c r="I1" s="5" t="s">
        <v>8</v>
      </c>
      <c r="J1" s="5" t="s">
        <v>33</v>
      </c>
      <c r="K1" s="5" t="s">
        <v>22</v>
      </c>
    </row>
    <row r="2" spans="1:31" ht="15" customHeight="1" x14ac:dyDescent="0.25">
      <c r="A2" s="13" t="s">
        <v>35</v>
      </c>
      <c r="B2" s="6">
        <v>46204</v>
      </c>
      <c r="C2" s="2">
        <v>200</v>
      </c>
      <c r="D2" s="8"/>
      <c r="E2" s="8"/>
      <c r="F2" s="8"/>
      <c r="G2" s="8"/>
      <c r="H2" s="8"/>
      <c r="I2" s="8"/>
      <c r="J2" s="8">
        <f t="shared" ref="J2:J32" si="0">SUM(D2:I2)</f>
        <v>0</v>
      </c>
      <c r="K2" s="8">
        <f t="shared" ref="K2:K32" si="1">SUM(C2-J2)</f>
        <v>200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A3" s="13"/>
      <c r="B3" s="6">
        <v>46205</v>
      </c>
      <c r="C3" s="2">
        <v>200</v>
      </c>
      <c r="D3" s="8"/>
      <c r="E3" s="8"/>
      <c r="F3" s="8"/>
      <c r="G3" s="8"/>
      <c r="H3" s="8"/>
      <c r="I3" s="8"/>
      <c r="J3" s="8">
        <f t="shared" si="0"/>
        <v>0</v>
      </c>
      <c r="K3" s="8">
        <f t="shared" si="1"/>
        <v>200</v>
      </c>
    </row>
    <row r="4" spans="1:31" x14ac:dyDescent="0.25">
      <c r="A4" s="13"/>
      <c r="B4" s="6">
        <v>46206</v>
      </c>
      <c r="C4" s="2">
        <v>200</v>
      </c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200</v>
      </c>
    </row>
    <row r="5" spans="1:31" x14ac:dyDescent="0.25">
      <c r="A5" s="13"/>
      <c r="B5" s="6">
        <v>46207</v>
      </c>
      <c r="C5" s="2">
        <v>200</v>
      </c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200</v>
      </c>
    </row>
    <row r="6" spans="1:31" x14ac:dyDescent="0.25">
      <c r="A6" s="13"/>
      <c r="B6" s="6">
        <v>46208</v>
      </c>
      <c r="C6" s="2">
        <v>200</v>
      </c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200</v>
      </c>
    </row>
    <row r="7" spans="1:31" x14ac:dyDescent="0.25">
      <c r="A7" s="13"/>
      <c r="B7" s="6">
        <v>46209</v>
      </c>
      <c r="C7" s="2">
        <v>200</v>
      </c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200</v>
      </c>
    </row>
    <row r="8" spans="1:31" x14ac:dyDescent="0.25">
      <c r="A8" s="13"/>
      <c r="B8" s="6">
        <v>46210</v>
      </c>
      <c r="C8" s="2">
        <v>200</v>
      </c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200</v>
      </c>
    </row>
    <row r="9" spans="1:31" x14ac:dyDescent="0.25">
      <c r="A9" s="13"/>
      <c r="B9" s="6">
        <v>46211</v>
      </c>
      <c r="C9" s="2">
        <v>200</v>
      </c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200</v>
      </c>
    </row>
    <row r="10" spans="1:31" x14ac:dyDescent="0.25">
      <c r="A10" s="13"/>
      <c r="B10" s="6">
        <v>46212</v>
      </c>
      <c r="C10" s="2">
        <v>200</v>
      </c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200</v>
      </c>
    </row>
    <row r="11" spans="1:31" x14ac:dyDescent="0.25">
      <c r="A11" s="13"/>
      <c r="B11" s="6">
        <v>46213</v>
      </c>
      <c r="C11" s="2">
        <v>200</v>
      </c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200</v>
      </c>
    </row>
    <row r="12" spans="1:31" x14ac:dyDescent="0.25">
      <c r="A12" s="13"/>
      <c r="B12" s="6">
        <v>46214</v>
      </c>
      <c r="C12" s="2">
        <v>200</v>
      </c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200</v>
      </c>
    </row>
    <row r="13" spans="1:31" x14ac:dyDescent="0.25">
      <c r="A13" s="13"/>
      <c r="B13" s="6">
        <v>46215</v>
      </c>
      <c r="C13" s="2">
        <v>200</v>
      </c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200</v>
      </c>
    </row>
    <row r="14" spans="1:31" x14ac:dyDescent="0.25">
      <c r="A14" s="13"/>
      <c r="B14" s="6">
        <v>46216</v>
      </c>
      <c r="C14" s="2">
        <v>200</v>
      </c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200</v>
      </c>
    </row>
    <row r="15" spans="1:31" x14ac:dyDescent="0.25">
      <c r="A15" s="13"/>
      <c r="B15" s="6">
        <v>46217</v>
      </c>
      <c r="C15" s="2">
        <v>200</v>
      </c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200</v>
      </c>
    </row>
    <row r="16" spans="1:31" x14ac:dyDescent="0.25">
      <c r="A16" s="13"/>
      <c r="B16" s="6">
        <v>46218</v>
      </c>
      <c r="C16" s="2">
        <v>200</v>
      </c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200</v>
      </c>
    </row>
    <row r="17" spans="1:11" x14ac:dyDescent="0.25">
      <c r="A17" s="13"/>
      <c r="B17" s="6">
        <v>46219</v>
      </c>
      <c r="C17" s="2">
        <v>200</v>
      </c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200</v>
      </c>
    </row>
    <row r="18" spans="1:11" x14ac:dyDescent="0.25">
      <c r="A18" s="13"/>
      <c r="B18" s="6">
        <v>46220</v>
      </c>
      <c r="C18" s="2">
        <v>200</v>
      </c>
      <c r="D18" s="8"/>
      <c r="E18" s="8"/>
      <c r="F18" s="8"/>
      <c r="G18" s="8"/>
      <c r="H18" s="8">
        <v>130</v>
      </c>
      <c r="I18" s="8"/>
      <c r="J18" s="8">
        <f t="shared" si="0"/>
        <v>130</v>
      </c>
      <c r="K18" s="8">
        <f t="shared" si="1"/>
        <v>70</v>
      </c>
    </row>
    <row r="19" spans="1:11" x14ac:dyDescent="0.25">
      <c r="A19" s="13"/>
      <c r="B19" s="6">
        <v>46221</v>
      </c>
      <c r="C19" s="2">
        <v>200</v>
      </c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200</v>
      </c>
    </row>
    <row r="20" spans="1:11" x14ac:dyDescent="0.25">
      <c r="A20" s="13"/>
      <c r="B20" s="6">
        <v>46222</v>
      </c>
      <c r="C20" s="2">
        <v>200</v>
      </c>
      <c r="D20" s="8"/>
      <c r="E20" s="8"/>
      <c r="F20" s="8"/>
      <c r="G20" s="8"/>
      <c r="H20" s="8"/>
      <c r="I20" s="8"/>
      <c r="J20" s="8">
        <f t="shared" si="0"/>
        <v>0</v>
      </c>
      <c r="K20" s="8">
        <f t="shared" si="1"/>
        <v>200</v>
      </c>
    </row>
    <row r="21" spans="1:11" x14ac:dyDescent="0.25">
      <c r="A21" s="13"/>
      <c r="B21" s="6">
        <v>46223</v>
      </c>
      <c r="C21" s="2">
        <v>200</v>
      </c>
      <c r="D21" s="8"/>
      <c r="E21" s="8"/>
      <c r="F21" s="8"/>
      <c r="G21" s="8"/>
      <c r="H21" s="8"/>
      <c r="I21" s="8"/>
      <c r="J21" s="8">
        <f t="shared" si="0"/>
        <v>0</v>
      </c>
      <c r="K21" s="8">
        <f t="shared" si="1"/>
        <v>200</v>
      </c>
    </row>
    <row r="22" spans="1:11" x14ac:dyDescent="0.25">
      <c r="A22" s="13"/>
      <c r="B22" s="6">
        <v>46224</v>
      </c>
      <c r="C22" s="2">
        <v>200</v>
      </c>
      <c r="D22" s="8">
        <v>88</v>
      </c>
      <c r="E22" s="8"/>
      <c r="F22" s="8">
        <v>50</v>
      </c>
      <c r="G22" s="8"/>
      <c r="H22" s="8"/>
      <c r="I22" s="8"/>
      <c r="J22" s="8">
        <f t="shared" si="0"/>
        <v>138</v>
      </c>
      <c r="K22" s="8">
        <f t="shared" si="1"/>
        <v>62</v>
      </c>
    </row>
    <row r="23" spans="1:11" x14ac:dyDescent="0.25">
      <c r="A23" s="13"/>
      <c r="B23" s="6">
        <v>46225</v>
      </c>
      <c r="C23" s="2">
        <v>200</v>
      </c>
      <c r="D23" s="8">
        <v>88</v>
      </c>
      <c r="E23" s="8"/>
      <c r="F23" s="8">
        <v>50</v>
      </c>
      <c r="G23" s="8"/>
      <c r="H23" s="8"/>
      <c r="I23" s="8"/>
      <c r="J23" s="8">
        <f t="shared" si="0"/>
        <v>138</v>
      </c>
      <c r="K23" s="8">
        <f t="shared" si="1"/>
        <v>62</v>
      </c>
    </row>
    <row r="24" spans="1:11" x14ac:dyDescent="0.25">
      <c r="A24" s="13"/>
      <c r="B24" s="6">
        <v>46226</v>
      </c>
      <c r="C24" s="2">
        <v>200</v>
      </c>
      <c r="D24" s="8">
        <v>88</v>
      </c>
      <c r="E24" s="8"/>
      <c r="F24" s="8">
        <v>50</v>
      </c>
      <c r="G24" s="8"/>
      <c r="H24" s="8"/>
      <c r="I24" s="8"/>
      <c r="J24" s="8">
        <f t="shared" si="0"/>
        <v>138</v>
      </c>
      <c r="K24" s="8">
        <f t="shared" si="1"/>
        <v>62</v>
      </c>
    </row>
    <row r="25" spans="1:11" x14ac:dyDescent="0.25">
      <c r="A25" s="13"/>
      <c r="B25" s="6">
        <v>46227</v>
      </c>
      <c r="C25" s="2">
        <v>200</v>
      </c>
      <c r="D25" s="8">
        <v>88</v>
      </c>
      <c r="E25" s="8"/>
      <c r="F25" s="8">
        <v>50</v>
      </c>
      <c r="G25" s="8"/>
      <c r="H25" s="8"/>
      <c r="I25" s="8"/>
      <c r="J25" s="8">
        <f t="shared" si="0"/>
        <v>138</v>
      </c>
      <c r="K25" s="8">
        <f t="shared" si="1"/>
        <v>62</v>
      </c>
    </row>
    <row r="26" spans="1:11" x14ac:dyDescent="0.25">
      <c r="A26" s="13"/>
      <c r="B26" s="6">
        <v>46228</v>
      </c>
      <c r="C26" s="2">
        <v>200</v>
      </c>
      <c r="D26" s="8"/>
      <c r="E26" s="8"/>
      <c r="F26" s="8"/>
      <c r="G26" s="8"/>
      <c r="H26" s="8"/>
      <c r="I26" s="8"/>
      <c r="J26" s="8">
        <f t="shared" si="0"/>
        <v>0</v>
      </c>
      <c r="K26" s="8">
        <f t="shared" si="1"/>
        <v>200</v>
      </c>
    </row>
    <row r="27" spans="1:11" x14ac:dyDescent="0.25">
      <c r="A27" s="13"/>
      <c r="B27" s="6">
        <v>46229</v>
      </c>
      <c r="C27" s="2">
        <v>200</v>
      </c>
      <c r="E27" s="8"/>
      <c r="F27" s="8"/>
      <c r="G27" s="8"/>
      <c r="H27" s="8">
        <v>800</v>
      </c>
      <c r="I27" s="8"/>
      <c r="J27" s="8">
        <f t="shared" si="0"/>
        <v>800</v>
      </c>
      <c r="K27" s="8">
        <f t="shared" si="1"/>
        <v>-600</v>
      </c>
    </row>
    <row r="28" spans="1:11" x14ac:dyDescent="0.25">
      <c r="A28" s="13"/>
      <c r="B28" s="6">
        <v>46230</v>
      </c>
      <c r="C28" s="2">
        <v>200</v>
      </c>
      <c r="D28" s="8"/>
      <c r="E28" s="8">
        <v>500</v>
      </c>
      <c r="F28" s="8"/>
      <c r="G28" s="8"/>
      <c r="H28" s="8"/>
      <c r="I28" s="8">
        <v>1500</v>
      </c>
      <c r="J28" s="8">
        <f t="shared" si="0"/>
        <v>2000</v>
      </c>
      <c r="K28" s="8">
        <f t="shared" si="1"/>
        <v>-1800</v>
      </c>
    </row>
    <row r="29" spans="1:11" x14ac:dyDescent="0.25">
      <c r="A29" s="13"/>
      <c r="B29" s="6">
        <v>46231</v>
      </c>
      <c r="C29" s="2">
        <v>200</v>
      </c>
      <c r="D29" s="8">
        <v>88</v>
      </c>
      <c r="E29" s="8"/>
      <c r="F29" s="8">
        <v>50</v>
      </c>
      <c r="G29" s="8"/>
      <c r="H29" s="8"/>
      <c r="I29" s="8"/>
      <c r="J29" s="8">
        <f t="shared" si="0"/>
        <v>138</v>
      </c>
      <c r="K29" s="8">
        <f t="shared" si="1"/>
        <v>62</v>
      </c>
    </row>
    <row r="30" spans="1:11" x14ac:dyDescent="0.25">
      <c r="A30" s="13"/>
      <c r="B30" s="6">
        <v>46232</v>
      </c>
      <c r="C30" s="2">
        <v>200</v>
      </c>
      <c r="D30" s="8">
        <v>88</v>
      </c>
      <c r="E30" s="8"/>
      <c r="F30" s="8">
        <v>50</v>
      </c>
      <c r="G30" s="8"/>
      <c r="H30" s="8"/>
      <c r="I30" s="8"/>
      <c r="J30" s="8">
        <f t="shared" si="0"/>
        <v>138</v>
      </c>
      <c r="K30" s="8">
        <f t="shared" si="1"/>
        <v>62</v>
      </c>
    </row>
    <row r="31" spans="1:11" x14ac:dyDescent="0.25">
      <c r="A31" s="13"/>
      <c r="B31" s="6">
        <v>46233</v>
      </c>
      <c r="C31" s="2">
        <v>200</v>
      </c>
      <c r="D31" s="8">
        <v>88</v>
      </c>
      <c r="E31" s="8"/>
      <c r="F31" s="8">
        <v>50</v>
      </c>
      <c r="G31" s="8"/>
      <c r="H31" s="8"/>
      <c r="I31" s="8"/>
      <c r="J31" s="8">
        <f t="shared" si="0"/>
        <v>138</v>
      </c>
      <c r="K31" s="8">
        <f t="shared" si="1"/>
        <v>62</v>
      </c>
    </row>
    <row r="32" spans="1:11" x14ac:dyDescent="0.25">
      <c r="A32" s="13"/>
      <c r="B32" s="6">
        <v>46234</v>
      </c>
      <c r="C32" s="2">
        <v>200</v>
      </c>
      <c r="D32" s="8">
        <v>88</v>
      </c>
      <c r="E32" s="8"/>
      <c r="F32" s="8">
        <v>50</v>
      </c>
      <c r="G32" s="8"/>
      <c r="H32" s="8"/>
      <c r="I32" s="8"/>
      <c r="J32" s="8">
        <f t="shared" si="0"/>
        <v>138</v>
      </c>
      <c r="K32" s="8">
        <f t="shared" si="1"/>
        <v>62</v>
      </c>
    </row>
    <row r="33" spans="1:11" x14ac:dyDescent="0.25">
      <c r="C33" s="2">
        <f t="shared" ref="C33:K33" si="2">SUM(C2:C32)</f>
        <v>6200</v>
      </c>
      <c r="D33" s="2">
        <f t="shared" si="2"/>
        <v>704</v>
      </c>
      <c r="E33" s="2">
        <f t="shared" si="2"/>
        <v>500</v>
      </c>
      <c r="F33" s="2">
        <f t="shared" si="2"/>
        <v>400</v>
      </c>
      <c r="G33" s="2">
        <f t="shared" si="2"/>
        <v>0</v>
      </c>
      <c r="H33" s="2">
        <f t="shared" si="2"/>
        <v>930</v>
      </c>
      <c r="I33" s="2">
        <f t="shared" si="2"/>
        <v>1500</v>
      </c>
      <c r="J33" s="2">
        <f t="shared" si="2"/>
        <v>4034</v>
      </c>
      <c r="K33" s="8">
        <f t="shared" si="2"/>
        <v>2166</v>
      </c>
    </row>
    <row r="34" spans="1:11" ht="15.75" x14ac:dyDescent="0.25">
      <c r="A34" s="4" t="s">
        <v>34</v>
      </c>
      <c r="B34" s="5" t="s">
        <v>36</v>
      </c>
      <c r="C34" s="5" t="s">
        <v>37</v>
      </c>
      <c r="D34" s="5" t="s">
        <v>19</v>
      </c>
      <c r="E34" s="5" t="s">
        <v>4</v>
      </c>
      <c r="F34" s="5" t="s">
        <v>5</v>
      </c>
      <c r="G34" s="5" t="s">
        <v>16</v>
      </c>
      <c r="H34" s="5" t="s">
        <v>6</v>
      </c>
      <c r="I34" s="5" t="s">
        <v>8</v>
      </c>
      <c r="J34" s="5" t="s">
        <v>33</v>
      </c>
      <c r="K34" s="5" t="s">
        <v>22</v>
      </c>
    </row>
    <row r="35" spans="1:11" ht="15" customHeight="1" x14ac:dyDescent="0.25">
      <c r="A35" s="13" t="s">
        <v>38</v>
      </c>
      <c r="B35" s="6">
        <v>46235</v>
      </c>
      <c r="C35" s="2">
        <v>200</v>
      </c>
      <c r="D35" s="8"/>
      <c r="E35" s="8"/>
      <c r="F35" s="8"/>
      <c r="G35" s="8"/>
      <c r="H35" s="8"/>
      <c r="I35" s="8"/>
      <c r="J35" s="8">
        <f t="shared" ref="J35:J65" si="3">SUM(D35:I35)</f>
        <v>0</v>
      </c>
      <c r="K35" s="8">
        <f t="shared" ref="K35:K65" si="4">SUM(C35-J35)</f>
        <v>200</v>
      </c>
    </row>
    <row r="36" spans="1:11" x14ac:dyDescent="0.25">
      <c r="A36" s="13"/>
      <c r="B36" s="6">
        <v>46236</v>
      </c>
      <c r="C36" s="2">
        <v>200</v>
      </c>
      <c r="D36" s="8"/>
      <c r="E36" s="8"/>
      <c r="F36" s="8"/>
      <c r="G36" s="8"/>
      <c r="H36" s="8"/>
      <c r="I36" s="8"/>
      <c r="J36" s="8">
        <f t="shared" si="3"/>
        <v>0</v>
      </c>
      <c r="K36" s="8">
        <f t="shared" si="4"/>
        <v>200</v>
      </c>
    </row>
    <row r="37" spans="1:11" x14ac:dyDescent="0.25">
      <c r="A37" s="13"/>
      <c r="B37" s="6">
        <v>46237</v>
      </c>
      <c r="C37" s="2">
        <v>200</v>
      </c>
      <c r="D37" s="8">
        <v>88</v>
      </c>
      <c r="E37" s="8"/>
      <c r="F37" s="8">
        <v>50</v>
      </c>
      <c r="G37" s="8"/>
      <c r="H37" s="8"/>
      <c r="I37" s="8"/>
      <c r="J37" s="8">
        <f t="shared" si="3"/>
        <v>138</v>
      </c>
      <c r="K37" s="8">
        <f t="shared" si="4"/>
        <v>62</v>
      </c>
    </row>
    <row r="38" spans="1:11" x14ac:dyDescent="0.25">
      <c r="A38" s="13"/>
      <c r="B38" s="6">
        <v>46238</v>
      </c>
      <c r="C38" s="2">
        <v>200</v>
      </c>
      <c r="D38" s="8">
        <v>88</v>
      </c>
      <c r="E38" s="8"/>
      <c r="F38" s="8">
        <v>50</v>
      </c>
      <c r="G38" s="8"/>
      <c r="H38" s="8"/>
      <c r="I38" s="8"/>
      <c r="J38" s="8">
        <f t="shared" si="3"/>
        <v>138</v>
      </c>
      <c r="K38" s="8">
        <f t="shared" si="4"/>
        <v>62</v>
      </c>
    </row>
    <row r="39" spans="1:11" x14ac:dyDescent="0.25">
      <c r="A39" s="13"/>
      <c r="B39" s="6">
        <v>46239</v>
      </c>
      <c r="C39" s="2">
        <v>200</v>
      </c>
      <c r="D39" s="8">
        <v>88</v>
      </c>
      <c r="E39" s="8"/>
      <c r="F39" s="8">
        <v>50</v>
      </c>
      <c r="G39" s="8"/>
      <c r="H39" s="8"/>
      <c r="I39" s="8"/>
      <c r="J39" s="8">
        <f t="shared" si="3"/>
        <v>138</v>
      </c>
      <c r="K39" s="8">
        <f t="shared" si="4"/>
        <v>62</v>
      </c>
    </row>
    <row r="40" spans="1:11" x14ac:dyDescent="0.25">
      <c r="A40" s="13"/>
      <c r="B40" s="6">
        <v>46240</v>
      </c>
      <c r="C40" s="2">
        <v>200</v>
      </c>
      <c r="D40" s="8">
        <v>88</v>
      </c>
      <c r="E40" s="8"/>
      <c r="F40" s="8">
        <v>50</v>
      </c>
      <c r="G40" s="8"/>
      <c r="H40" s="8"/>
      <c r="I40" s="8"/>
      <c r="J40" s="8">
        <f t="shared" si="3"/>
        <v>138</v>
      </c>
      <c r="K40" s="8">
        <f t="shared" si="4"/>
        <v>62</v>
      </c>
    </row>
    <row r="41" spans="1:11" x14ac:dyDescent="0.25">
      <c r="A41" s="13"/>
      <c r="B41" s="6">
        <v>46241</v>
      </c>
      <c r="C41" s="2">
        <v>200</v>
      </c>
      <c r="D41" s="8">
        <v>88</v>
      </c>
      <c r="E41" s="8"/>
      <c r="F41" s="8">
        <v>50</v>
      </c>
      <c r="G41" s="8"/>
      <c r="H41" s="8"/>
      <c r="I41" s="8"/>
      <c r="J41" s="8">
        <f t="shared" si="3"/>
        <v>138</v>
      </c>
      <c r="K41" s="8">
        <f t="shared" si="4"/>
        <v>62</v>
      </c>
    </row>
    <row r="42" spans="1:11" ht="15" customHeight="1" x14ac:dyDescent="0.25">
      <c r="A42" s="13"/>
      <c r="B42" s="6">
        <v>46242</v>
      </c>
      <c r="C42" s="2">
        <v>200</v>
      </c>
      <c r="D42" s="8"/>
      <c r="E42" s="8"/>
      <c r="F42" s="8"/>
      <c r="G42" s="8"/>
      <c r="H42" s="8"/>
      <c r="I42" s="8"/>
      <c r="J42" s="8">
        <f t="shared" si="3"/>
        <v>0</v>
      </c>
      <c r="K42" s="8">
        <f t="shared" si="4"/>
        <v>200</v>
      </c>
    </row>
    <row r="43" spans="1:11" x14ac:dyDescent="0.25">
      <c r="A43" s="13"/>
      <c r="B43" s="6">
        <v>46243</v>
      </c>
      <c r="C43" s="2">
        <v>200</v>
      </c>
      <c r="D43" s="8"/>
      <c r="E43" s="8"/>
      <c r="F43" s="8"/>
      <c r="G43" s="8"/>
      <c r="H43" s="8"/>
      <c r="I43" s="8"/>
      <c r="J43" s="8">
        <f t="shared" si="3"/>
        <v>0</v>
      </c>
      <c r="K43" s="8">
        <f t="shared" si="4"/>
        <v>200</v>
      </c>
    </row>
    <row r="44" spans="1:11" x14ac:dyDescent="0.25">
      <c r="A44" s="13"/>
      <c r="B44" s="6">
        <v>46244</v>
      </c>
      <c r="C44" s="2">
        <v>200</v>
      </c>
      <c r="D44" s="8">
        <v>88</v>
      </c>
      <c r="E44" s="8"/>
      <c r="F44" s="8">
        <v>50</v>
      </c>
      <c r="G44" s="8"/>
      <c r="H44" s="8"/>
      <c r="I44" s="8"/>
      <c r="J44" s="8">
        <f t="shared" si="3"/>
        <v>138</v>
      </c>
      <c r="K44" s="8">
        <f t="shared" si="4"/>
        <v>62</v>
      </c>
    </row>
    <row r="45" spans="1:11" x14ac:dyDescent="0.25">
      <c r="A45" s="13"/>
      <c r="B45" s="6">
        <v>46245</v>
      </c>
      <c r="C45" s="2">
        <v>200</v>
      </c>
      <c r="D45" s="8">
        <v>88</v>
      </c>
      <c r="E45" s="8"/>
      <c r="F45" s="8">
        <v>50</v>
      </c>
      <c r="G45" s="8"/>
      <c r="H45" s="8"/>
      <c r="I45" s="8"/>
      <c r="J45" s="8">
        <f t="shared" si="3"/>
        <v>138</v>
      </c>
      <c r="K45" s="8">
        <f t="shared" si="4"/>
        <v>62</v>
      </c>
    </row>
    <row r="46" spans="1:11" x14ac:dyDescent="0.25">
      <c r="A46" s="13"/>
      <c r="B46" s="6">
        <v>46246</v>
      </c>
      <c r="C46" s="2">
        <v>200</v>
      </c>
      <c r="D46" s="8">
        <v>88</v>
      </c>
      <c r="E46" s="8"/>
      <c r="F46" s="8">
        <v>50</v>
      </c>
      <c r="G46" s="8"/>
      <c r="H46" s="8"/>
      <c r="I46" s="8"/>
      <c r="J46" s="8">
        <f t="shared" si="3"/>
        <v>138</v>
      </c>
      <c r="K46" s="8">
        <f t="shared" si="4"/>
        <v>62</v>
      </c>
    </row>
    <row r="47" spans="1:11" x14ac:dyDescent="0.25">
      <c r="A47" s="13"/>
      <c r="B47" s="6">
        <v>46247</v>
      </c>
      <c r="C47" s="2">
        <v>200</v>
      </c>
      <c r="D47" s="8">
        <v>88</v>
      </c>
      <c r="E47" s="8"/>
      <c r="F47" s="8">
        <v>50</v>
      </c>
      <c r="G47" s="8"/>
      <c r="H47" s="8"/>
      <c r="I47" s="8"/>
      <c r="J47" s="8">
        <f t="shared" si="3"/>
        <v>138</v>
      </c>
      <c r="K47" s="8">
        <f t="shared" si="4"/>
        <v>62</v>
      </c>
    </row>
    <row r="48" spans="1:11" x14ac:dyDescent="0.25">
      <c r="A48" s="13"/>
      <c r="B48" s="6">
        <v>46248</v>
      </c>
      <c r="C48" s="2">
        <v>200</v>
      </c>
      <c r="D48" s="8">
        <v>88</v>
      </c>
      <c r="E48" s="8"/>
      <c r="F48" s="8">
        <v>50</v>
      </c>
      <c r="G48" s="8"/>
      <c r="H48" s="8"/>
      <c r="I48" s="8"/>
      <c r="J48" s="8">
        <f t="shared" si="3"/>
        <v>138</v>
      </c>
      <c r="K48" s="8">
        <f t="shared" si="4"/>
        <v>62</v>
      </c>
    </row>
    <row r="49" spans="1:11" x14ac:dyDescent="0.25">
      <c r="A49" s="13"/>
      <c r="B49" s="6">
        <v>46249</v>
      </c>
      <c r="C49" s="2">
        <v>200</v>
      </c>
      <c r="D49" s="8"/>
      <c r="E49" s="8"/>
      <c r="F49" s="8"/>
      <c r="G49" s="8"/>
      <c r="H49" s="8"/>
      <c r="I49" s="8"/>
      <c r="J49" s="8">
        <f t="shared" si="3"/>
        <v>0</v>
      </c>
      <c r="K49" s="8">
        <f t="shared" si="4"/>
        <v>200</v>
      </c>
    </row>
    <row r="50" spans="1:11" x14ac:dyDescent="0.25">
      <c r="A50" s="13"/>
      <c r="B50" s="6">
        <v>46250</v>
      </c>
      <c r="C50" s="2">
        <v>200</v>
      </c>
      <c r="D50" s="8"/>
      <c r="E50" s="8"/>
      <c r="F50" s="8"/>
      <c r="G50" s="8"/>
      <c r="H50" s="8">
        <v>1000</v>
      </c>
      <c r="I50" s="8"/>
      <c r="J50" s="8">
        <f t="shared" si="3"/>
        <v>1000</v>
      </c>
      <c r="K50" s="8">
        <f t="shared" si="4"/>
        <v>-800</v>
      </c>
    </row>
    <row r="51" spans="1:11" x14ac:dyDescent="0.25">
      <c r="A51" s="13"/>
      <c r="B51" s="6">
        <v>46251</v>
      </c>
      <c r="C51" s="2">
        <v>200</v>
      </c>
      <c r="D51" s="8">
        <v>88</v>
      </c>
      <c r="E51" s="8"/>
      <c r="F51" s="8">
        <v>50</v>
      </c>
      <c r="G51" s="8"/>
      <c r="H51" s="8"/>
      <c r="I51" s="8"/>
      <c r="J51" s="8">
        <f t="shared" si="3"/>
        <v>138</v>
      </c>
      <c r="K51" s="8">
        <f t="shared" si="4"/>
        <v>62</v>
      </c>
    </row>
    <row r="52" spans="1:11" x14ac:dyDescent="0.25">
      <c r="A52" s="13"/>
      <c r="B52" s="6">
        <v>46252</v>
      </c>
      <c r="C52" s="2">
        <v>200</v>
      </c>
      <c r="D52" s="8">
        <v>88</v>
      </c>
      <c r="E52" s="8"/>
      <c r="F52" s="8">
        <v>50</v>
      </c>
      <c r="G52" s="8"/>
      <c r="H52" s="8"/>
      <c r="I52" s="8"/>
      <c r="J52" s="8">
        <f t="shared" si="3"/>
        <v>138</v>
      </c>
      <c r="K52" s="8">
        <f t="shared" si="4"/>
        <v>62</v>
      </c>
    </row>
    <row r="53" spans="1:11" x14ac:dyDescent="0.25">
      <c r="A53" s="13"/>
      <c r="B53" s="6">
        <v>46253</v>
      </c>
      <c r="C53" s="2">
        <v>200</v>
      </c>
      <c r="D53" s="8">
        <v>88</v>
      </c>
      <c r="E53" s="8"/>
      <c r="F53" s="8">
        <v>50</v>
      </c>
      <c r="G53" s="8"/>
      <c r="H53" s="8"/>
      <c r="I53" s="8"/>
      <c r="J53" s="8">
        <f t="shared" si="3"/>
        <v>138</v>
      </c>
      <c r="K53" s="8">
        <f t="shared" si="4"/>
        <v>62</v>
      </c>
    </row>
    <row r="54" spans="1:11" x14ac:dyDescent="0.25">
      <c r="A54" s="13"/>
      <c r="B54" s="6">
        <v>46254</v>
      </c>
      <c r="C54" s="2">
        <v>200</v>
      </c>
      <c r="D54" s="8">
        <v>88</v>
      </c>
      <c r="E54" s="8"/>
      <c r="F54" s="8">
        <v>50</v>
      </c>
      <c r="G54" s="8"/>
      <c r="H54" s="8"/>
      <c r="I54" s="8"/>
      <c r="J54" s="8">
        <f t="shared" si="3"/>
        <v>138</v>
      </c>
      <c r="K54" s="8">
        <f t="shared" si="4"/>
        <v>62</v>
      </c>
    </row>
    <row r="55" spans="1:11" x14ac:dyDescent="0.25">
      <c r="A55" s="13"/>
      <c r="B55" s="6">
        <v>46255</v>
      </c>
      <c r="C55" s="2">
        <v>200</v>
      </c>
      <c r="D55" s="8">
        <v>88</v>
      </c>
      <c r="E55" s="8"/>
      <c r="F55" s="8">
        <v>50</v>
      </c>
      <c r="G55" s="8"/>
      <c r="H55" s="8"/>
      <c r="I55" s="8"/>
      <c r="J55" s="8">
        <f t="shared" si="3"/>
        <v>138</v>
      </c>
      <c r="K55" s="8">
        <f t="shared" si="4"/>
        <v>62</v>
      </c>
    </row>
    <row r="56" spans="1:11" x14ac:dyDescent="0.25">
      <c r="A56" s="13"/>
      <c r="B56" s="6">
        <v>46256</v>
      </c>
      <c r="C56" s="2">
        <v>200</v>
      </c>
      <c r="D56" s="8"/>
      <c r="E56" s="8"/>
      <c r="F56" s="8"/>
      <c r="G56" s="8"/>
      <c r="H56" s="8"/>
      <c r="I56" s="8"/>
      <c r="J56" s="8">
        <f t="shared" si="3"/>
        <v>0</v>
      </c>
      <c r="K56" s="8">
        <f t="shared" si="4"/>
        <v>200</v>
      </c>
    </row>
    <row r="57" spans="1:11" x14ac:dyDescent="0.25">
      <c r="A57" s="13"/>
      <c r="B57" s="6">
        <v>46257</v>
      </c>
      <c r="C57" s="2">
        <v>200</v>
      </c>
      <c r="D57" s="8"/>
      <c r="E57" s="8"/>
      <c r="F57" s="8"/>
      <c r="G57" s="8"/>
      <c r="H57" s="8"/>
      <c r="I57" s="8"/>
      <c r="J57" s="8">
        <f t="shared" si="3"/>
        <v>0</v>
      </c>
      <c r="K57" s="8">
        <f t="shared" si="4"/>
        <v>200</v>
      </c>
    </row>
    <row r="58" spans="1:11" x14ac:dyDescent="0.25">
      <c r="A58" s="13"/>
      <c r="B58" s="6">
        <v>46258</v>
      </c>
      <c r="C58" s="2">
        <v>200</v>
      </c>
      <c r="D58" s="8">
        <v>88</v>
      </c>
      <c r="E58" s="8"/>
      <c r="F58" s="8">
        <v>50</v>
      </c>
      <c r="G58" s="8"/>
      <c r="H58" s="8"/>
      <c r="I58" s="8"/>
      <c r="J58" s="8">
        <f t="shared" si="3"/>
        <v>138</v>
      </c>
      <c r="K58" s="8">
        <f t="shared" si="4"/>
        <v>62</v>
      </c>
    </row>
    <row r="59" spans="1:11" x14ac:dyDescent="0.25">
      <c r="A59" s="13"/>
      <c r="B59" s="6">
        <v>46259</v>
      </c>
      <c r="C59" s="2">
        <v>200</v>
      </c>
      <c r="D59" s="8">
        <v>88</v>
      </c>
      <c r="E59" s="8"/>
      <c r="F59" s="8">
        <v>50</v>
      </c>
      <c r="G59" s="8"/>
      <c r="H59" s="8"/>
      <c r="I59" s="8"/>
      <c r="J59" s="8">
        <f t="shared" si="3"/>
        <v>138</v>
      </c>
      <c r="K59" s="8">
        <f t="shared" si="4"/>
        <v>62</v>
      </c>
    </row>
    <row r="60" spans="1:11" x14ac:dyDescent="0.25">
      <c r="A60" s="13"/>
      <c r="B60" s="6">
        <v>46260</v>
      </c>
      <c r="C60" s="2">
        <v>200</v>
      </c>
      <c r="D60" s="8">
        <v>88</v>
      </c>
      <c r="E60" s="8"/>
      <c r="F60" s="8">
        <v>50</v>
      </c>
      <c r="G60" s="8"/>
      <c r="H60" s="8"/>
      <c r="I60" s="8"/>
      <c r="J60" s="8">
        <f t="shared" si="3"/>
        <v>138</v>
      </c>
      <c r="K60" s="8">
        <f t="shared" si="4"/>
        <v>62</v>
      </c>
    </row>
    <row r="61" spans="1:11" x14ac:dyDescent="0.25">
      <c r="A61" s="13"/>
      <c r="B61" s="6">
        <v>46261</v>
      </c>
      <c r="C61" s="2">
        <v>200</v>
      </c>
      <c r="D61" s="8"/>
      <c r="E61" s="8"/>
      <c r="F61" s="8"/>
      <c r="G61" s="8"/>
      <c r="H61" s="8"/>
      <c r="I61" s="8"/>
      <c r="J61" s="8">
        <f t="shared" si="3"/>
        <v>0</v>
      </c>
      <c r="K61" s="8">
        <f t="shared" si="4"/>
        <v>200</v>
      </c>
    </row>
    <row r="62" spans="1:11" x14ac:dyDescent="0.25">
      <c r="A62" s="13"/>
      <c r="B62" s="6">
        <v>46262</v>
      </c>
      <c r="C62" s="2">
        <v>200</v>
      </c>
      <c r="D62" s="8"/>
      <c r="E62" s="8"/>
      <c r="F62" s="8"/>
      <c r="G62" s="8"/>
      <c r="H62" s="8"/>
      <c r="I62" s="8"/>
      <c r="J62" s="8">
        <f t="shared" si="3"/>
        <v>0</v>
      </c>
      <c r="K62" s="8">
        <f t="shared" si="4"/>
        <v>200</v>
      </c>
    </row>
    <row r="63" spans="1:11" x14ac:dyDescent="0.25">
      <c r="A63" s="13"/>
      <c r="B63" s="6">
        <v>46263</v>
      </c>
      <c r="C63" s="2">
        <v>200</v>
      </c>
      <c r="D63" s="8"/>
      <c r="E63" s="8"/>
      <c r="F63" s="8"/>
      <c r="G63" s="8"/>
      <c r="H63" s="8"/>
      <c r="I63" s="8"/>
      <c r="J63" s="8">
        <f t="shared" si="3"/>
        <v>0</v>
      </c>
      <c r="K63" s="8">
        <f t="shared" si="4"/>
        <v>200</v>
      </c>
    </row>
    <row r="64" spans="1:11" x14ac:dyDescent="0.25">
      <c r="A64" s="13"/>
      <c r="B64" s="6">
        <v>46264</v>
      </c>
      <c r="C64" s="2">
        <v>200</v>
      </c>
      <c r="D64" s="8"/>
      <c r="E64" s="8"/>
      <c r="F64" s="8"/>
      <c r="G64" s="8"/>
      <c r="H64" s="8"/>
      <c r="I64" s="8"/>
      <c r="J64" s="8">
        <f t="shared" si="3"/>
        <v>0</v>
      </c>
      <c r="K64" s="8">
        <f t="shared" si="4"/>
        <v>200</v>
      </c>
    </row>
    <row r="65" spans="1:12" x14ac:dyDescent="0.25">
      <c r="A65" s="13"/>
      <c r="B65" s="6">
        <v>46265</v>
      </c>
      <c r="C65" s="2">
        <v>200</v>
      </c>
      <c r="D65" s="8">
        <v>88</v>
      </c>
      <c r="E65" s="8"/>
      <c r="F65" s="8">
        <v>50</v>
      </c>
      <c r="G65" s="8"/>
      <c r="H65" s="8"/>
      <c r="I65" s="8"/>
      <c r="J65" s="8">
        <f t="shared" si="3"/>
        <v>138</v>
      </c>
      <c r="K65" s="8">
        <f t="shared" si="4"/>
        <v>62</v>
      </c>
    </row>
    <row r="66" spans="1:12" x14ac:dyDescent="0.25">
      <c r="C66" s="2">
        <f t="shared" ref="C66:K66" si="5">SUM(C35:C65)</f>
        <v>6200</v>
      </c>
      <c r="D66" s="2">
        <f t="shared" si="5"/>
        <v>1672</v>
      </c>
      <c r="E66" s="2">
        <f t="shared" si="5"/>
        <v>0</v>
      </c>
      <c r="F66" s="2">
        <f t="shared" si="5"/>
        <v>950</v>
      </c>
      <c r="G66" s="2">
        <f t="shared" si="5"/>
        <v>0</v>
      </c>
      <c r="H66" s="2">
        <f t="shared" si="5"/>
        <v>1000</v>
      </c>
      <c r="I66" s="2">
        <f t="shared" si="5"/>
        <v>0</v>
      </c>
      <c r="J66" s="2">
        <f t="shared" si="5"/>
        <v>3622</v>
      </c>
      <c r="K66" s="8">
        <f t="shared" si="5"/>
        <v>2578</v>
      </c>
    </row>
    <row r="67" spans="1:12" ht="15.75" x14ac:dyDescent="0.25">
      <c r="A67" s="4" t="s">
        <v>34</v>
      </c>
      <c r="B67" s="5" t="s">
        <v>36</v>
      </c>
      <c r="C67" s="5" t="s">
        <v>37</v>
      </c>
      <c r="D67" s="5" t="s">
        <v>19</v>
      </c>
      <c r="E67" s="5" t="s">
        <v>4</v>
      </c>
      <c r="F67" s="5" t="s">
        <v>5</v>
      </c>
      <c r="G67" s="5" t="s">
        <v>16</v>
      </c>
      <c r="H67" s="5" t="s">
        <v>6</v>
      </c>
      <c r="I67" s="5" t="s">
        <v>8</v>
      </c>
      <c r="J67" s="5" t="s">
        <v>33</v>
      </c>
      <c r="K67" s="5" t="s">
        <v>22</v>
      </c>
    </row>
    <row r="68" spans="1:12" ht="15" customHeight="1" x14ac:dyDescent="0.25">
      <c r="A68" s="13" t="s">
        <v>39</v>
      </c>
      <c r="B68" s="6">
        <v>46266</v>
      </c>
      <c r="C68" s="2">
        <v>200</v>
      </c>
      <c r="D68" s="8">
        <v>88</v>
      </c>
      <c r="E68" s="8"/>
      <c r="F68" s="8">
        <v>50</v>
      </c>
      <c r="G68" s="8"/>
      <c r="H68" s="8"/>
      <c r="I68" s="8"/>
      <c r="J68" s="8">
        <f t="shared" ref="J68:J97" si="6">SUM(D68:I68)</f>
        <v>138</v>
      </c>
      <c r="K68" s="8">
        <f t="shared" ref="K68:K97" si="7">SUM(C68-J68)</f>
        <v>62</v>
      </c>
    </row>
    <row r="69" spans="1:12" x14ac:dyDescent="0.25">
      <c r="A69" s="13"/>
      <c r="B69" s="6">
        <v>46267</v>
      </c>
      <c r="C69" s="2">
        <v>200</v>
      </c>
      <c r="D69" s="8">
        <v>88</v>
      </c>
      <c r="E69" s="8"/>
      <c r="F69" s="8">
        <v>50</v>
      </c>
      <c r="G69" s="8"/>
      <c r="H69" s="8"/>
      <c r="I69" s="8"/>
      <c r="J69" s="8">
        <f t="shared" si="6"/>
        <v>138</v>
      </c>
      <c r="K69" s="8">
        <f t="shared" si="7"/>
        <v>62</v>
      </c>
    </row>
    <row r="70" spans="1:12" x14ac:dyDescent="0.25">
      <c r="A70" s="13"/>
      <c r="B70" s="6">
        <v>46268</v>
      </c>
      <c r="C70" s="2">
        <v>200</v>
      </c>
      <c r="D70" s="8">
        <v>88</v>
      </c>
      <c r="E70" s="8"/>
      <c r="F70" s="8">
        <v>50</v>
      </c>
      <c r="G70" s="8"/>
      <c r="H70" s="8"/>
      <c r="I70" s="8"/>
      <c r="J70" s="8">
        <f t="shared" si="6"/>
        <v>138</v>
      </c>
      <c r="K70" s="8">
        <f t="shared" si="7"/>
        <v>62</v>
      </c>
    </row>
    <row r="71" spans="1:12" x14ac:dyDescent="0.25">
      <c r="A71" s="13"/>
      <c r="B71" s="6">
        <v>46269</v>
      </c>
      <c r="C71" s="2">
        <v>200</v>
      </c>
      <c r="D71" s="8">
        <v>88</v>
      </c>
      <c r="E71" s="8"/>
      <c r="F71" s="8">
        <v>50</v>
      </c>
      <c r="G71" s="8"/>
      <c r="H71" s="8"/>
      <c r="I71" s="8"/>
      <c r="J71" s="8">
        <f t="shared" si="6"/>
        <v>138</v>
      </c>
      <c r="K71" s="8">
        <f t="shared" si="7"/>
        <v>62</v>
      </c>
    </row>
    <row r="72" spans="1:12" x14ac:dyDescent="0.25">
      <c r="A72" s="13"/>
      <c r="B72" s="6">
        <v>46270</v>
      </c>
      <c r="C72" s="2">
        <v>200</v>
      </c>
      <c r="E72" s="8"/>
      <c r="G72" s="8"/>
      <c r="H72" s="8"/>
      <c r="I72" s="8"/>
      <c r="J72" s="8">
        <f t="shared" si="6"/>
        <v>0</v>
      </c>
      <c r="K72" s="8">
        <f t="shared" si="7"/>
        <v>200</v>
      </c>
    </row>
    <row r="73" spans="1:12" x14ac:dyDescent="0.25">
      <c r="A73" s="13"/>
      <c r="B73" s="6">
        <v>46271</v>
      </c>
      <c r="C73" s="2">
        <v>200</v>
      </c>
      <c r="E73" s="8"/>
      <c r="G73" s="8"/>
      <c r="H73" s="8"/>
      <c r="I73" s="8"/>
      <c r="J73" s="8">
        <f t="shared" si="6"/>
        <v>0</v>
      </c>
      <c r="K73" s="8">
        <f t="shared" si="7"/>
        <v>200</v>
      </c>
    </row>
    <row r="74" spans="1:12" ht="15" customHeight="1" x14ac:dyDescent="0.25">
      <c r="A74" s="13"/>
      <c r="B74" s="6">
        <v>46272</v>
      </c>
      <c r="C74" s="2">
        <v>200</v>
      </c>
      <c r="D74" s="8">
        <v>88</v>
      </c>
      <c r="E74" s="8"/>
      <c r="F74" s="8">
        <v>50</v>
      </c>
      <c r="G74" s="8"/>
      <c r="H74" s="8"/>
      <c r="I74" s="8"/>
      <c r="J74" s="8">
        <f t="shared" si="6"/>
        <v>138</v>
      </c>
      <c r="K74" s="8">
        <f t="shared" si="7"/>
        <v>62</v>
      </c>
      <c r="L74" s="14" t="s">
        <v>40</v>
      </c>
    </row>
    <row r="75" spans="1:12" x14ac:dyDescent="0.25">
      <c r="A75" s="13"/>
      <c r="B75" s="6">
        <v>46273</v>
      </c>
      <c r="C75" s="2">
        <v>200</v>
      </c>
      <c r="D75" s="8">
        <v>88</v>
      </c>
      <c r="E75" s="8"/>
      <c r="F75" s="8">
        <v>50</v>
      </c>
      <c r="G75" s="8"/>
      <c r="H75" s="8"/>
      <c r="I75" s="8"/>
      <c r="J75" s="8">
        <f t="shared" si="6"/>
        <v>138</v>
      </c>
      <c r="K75" s="8">
        <f t="shared" si="7"/>
        <v>62</v>
      </c>
      <c r="L75" s="14"/>
    </row>
    <row r="76" spans="1:12" x14ac:dyDescent="0.25">
      <c r="A76" s="13"/>
      <c r="B76" s="6">
        <v>46274</v>
      </c>
      <c r="C76" s="2">
        <v>200</v>
      </c>
      <c r="D76" s="8">
        <v>88</v>
      </c>
      <c r="E76" s="8"/>
      <c r="F76" s="8">
        <v>50</v>
      </c>
      <c r="G76" s="8"/>
      <c r="H76" s="8"/>
      <c r="I76" s="8"/>
      <c r="J76" s="8">
        <f t="shared" si="6"/>
        <v>138</v>
      </c>
      <c r="K76" s="8">
        <f t="shared" si="7"/>
        <v>62</v>
      </c>
      <c r="L76" s="14"/>
    </row>
    <row r="77" spans="1:12" x14ac:dyDescent="0.25">
      <c r="A77" s="13"/>
      <c r="B77" s="6">
        <v>46275</v>
      </c>
      <c r="C77" s="2">
        <v>200</v>
      </c>
      <c r="D77" s="8">
        <v>88</v>
      </c>
      <c r="E77" s="8"/>
      <c r="F77" s="8">
        <v>50</v>
      </c>
      <c r="G77" s="8"/>
      <c r="H77" s="8"/>
      <c r="I77" s="8"/>
      <c r="J77" s="8">
        <f t="shared" si="6"/>
        <v>138</v>
      </c>
      <c r="K77" s="8">
        <f t="shared" si="7"/>
        <v>62</v>
      </c>
      <c r="L77" s="14"/>
    </row>
    <row r="78" spans="1:12" x14ac:dyDescent="0.25">
      <c r="A78" s="13"/>
      <c r="B78" s="6">
        <v>46276</v>
      </c>
      <c r="C78" s="2">
        <v>200</v>
      </c>
      <c r="D78" s="8">
        <v>88</v>
      </c>
      <c r="E78" s="8"/>
      <c r="F78" s="8">
        <v>50</v>
      </c>
      <c r="G78" s="8"/>
      <c r="H78" s="8"/>
      <c r="I78" s="8"/>
      <c r="J78" s="8">
        <f t="shared" si="6"/>
        <v>138</v>
      </c>
      <c r="K78" s="8">
        <f t="shared" si="7"/>
        <v>62</v>
      </c>
      <c r="L78" s="14"/>
    </row>
    <row r="79" spans="1:12" x14ac:dyDescent="0.25">
      <c r="A79" s="13"/>
      <c r="B79" s="6">
        <v>46277</v>
      </c>
      <c r="C79" s="2">
        <v>200</v>
      </c>
      <c r="E79" s="8"/>
      <c r="G79" s="8"/>
      <c r="H79" s="8"/>
      <c r="I79" s="8"/>
      <c r="J79" s="8">
        <f t="shared" si="6"/>
        <v>0</v>
      </c>
      <c r="K79" s="8">
        <f t="shared" si="7"/>
        <v>200</v>
      </c>
    </row>
    <row r="80" spans="1:12" x14ac:dyDescent="0.25">
      <c r="A80" s="13"/>
      <c r="B80" s="6">
        <v>46278</v>
      </c>
      <c r="C80" s="2">
        <v>200</v>
      </c>
      <c r="E80" s="8"/>
      <c r="G80" s="8"/>
      <c r="H80" s="8">
        <v>1000</v>
      </c>
      <c r="I80" s="8"/>
      <c r="J80" s="8">
        <f t="shared" si="6"/>
        <v>1000</v>
      </c>
      <c r="K80" s="8">
        <f t="shared" si="7"/>
        <v>-800</v>
      </c>
    </row>
    <row r="81" spans="1:11" x14ac:dyDescent="0.25">
      <c r="A81" s="13"/>
      <c r="B81" s="6">
        <v>46279</v>
      </c>
      <c r="C81" s="2">
        <v>200</v>
      </c>
      <c r="D81" s="8">
        <v>88</v>
      </c>
      <c r="E81" s="8"/>
      <c r="F81" s="8">
        <v>50</v>
      </c>
      <c r="G81" s="8"/>
      <c r="H81" s="8"/>
      <c r="I81" s="8"/>
      <c r="J81" s="8">
        <f t="shared" si="6"/>
        <v>138</v>
      </c>
      <c r="K81" s="8">
        <f t="shared" si="7"/>
        <v>62</v>
      </c>
    </row>
    <row r="82" spans="1:11" ht="15" customHeight="1" x14ac:dyDescent="0.25">
      <c r="A82" s="13"/>
      <c r="B82" s="6">
        <v>46280</v>
      </c>
      <c r="C82" s="2">
        <v>200</v>
      </c>
      <c r="D82" s="8">
        <v>88</v>
      </c>
      <c r="E82" s="8"/>
      <c r="F82" s="8">
        <v>50</v>
      </c>
      <c r="G82" s="8"/>
      <c r="H82" s="8"/>
      <c r="I82" s="8"/>
      <c r="J82" s="8">
        <f t="shared" si="6"/>
        <v>138</v>
      </c>
      <c r="K82" s="8">
        <f t="shared" si="7"/>
        <v>62</v>
      </c>
    </row>
    <row r="83" spans="1:11" x14ac:dyDescent="0.25">
      <c r="A83" s="13"/>
      <c r="B83" s="6">
        <v>46281</v>
      </c>
      <c r="C83" s="2">
        <v>200</v>
      </c>
      <c r="D83" s="8">
        <v>88</v>
      </c>
      <c r="E83" s="8"/>
      <c r="F83" s="8">
        <v>50</v>
      </c>
      <c r="G83" s="8"/>
      <c r="I83" s="8"/>
      <c r="J83" s="8">
        <f t="shared" si="6"/>
        <v>138</v>
      </c>
      <c r="K83" s="8">
        <f t="shared" si="7"/>
        <v>62</v>
      </c>
    </row>
    <row r="84" spans="1:11" ht="15" customHeight="1" x14ac:dyDescent="0.25">
      <c r="A84" s="13"/>
      <c r="B84" s="6">
        <v>46282</v>
      </c>
      <c r="C84" s="2">
        <v>200</v>
      </c>
      <c r="D84" s="8">
        <v>88</v>
      </c>
      <c r="E84" s="8"/>
      <c r="F84" s="8">
        <v>50</v>
      </c>
      <c r="G84" s="8"/>
      <c r="H84" s="8"/>
      <c r="I84" s="8"/>
      <c r="J84" s="8">
        <f t="shared" si="6"/>
        <v>138</v>
      </c>
      <c r="K84" s="8">
        <f t="shared" si="7"/>
        <v>62</v>
      </c>
    </row>
    <row r="85" spans="1:11" x14ac:dyDescent="0.25">
      <c r="A85" s="13"/>
      <c r="B85" s="6">
        <v>46283</v>
      </c>
      <c r="C85" s="2">
        <v>200</v>
      </c>
      <c r="D85" s="8">
        <v>88</v>
      </c>
      <c r="E85" s="8"/>
      <c r="F85" s="8">
        <v>50</v>
      </c>
      <c r="G85" s="8"/>
      <c r="H85" s="8"/>
      <c r="I85" s="8"/>
      <c r="J85" s="8">
        <f t="shared" si="6"/>
        <v>138</v>
      </c>
      <c r="K85" s="8">
        <f t="shared" si="7"/>
        <v>62</v>
      </c>
    </row>
    <row r="86" spans="1:11" x14ac:dyDescent="0.25">
      <c r="A86" s="13"/>
      <c r="B86" s="6">
        <v>46284</v>
      </c>
      <c r="C86" s="2">
        <v>200</v>
      </c>
      <c r="E86" s="8"/>
      <c r="G86" s="8"/>
      <c r="H86" s="8"/>
      <c r="I86" s="8"/>
      <c r="J86" s="8">
        <f t="shared" si="6"/>
        <v>0</v>
      </c>
      <c r="K86" s="8">
        <f t="shared" si="7"/>
        <v>200</v>
      </c>
    </row>
    <row r="87" spans="1:11" x14ac:dyDescent="0.25">
      <c r="A87" s="13"/>
      <c r="B87" s="6">
        <v>46285</v>
      </c>
      <c r="C87" s="2">
        <v>200</v>
      </c>
      <c r="E87" s="8"/>
      <c r="G87" s="8"/>
      <c r="H87" s="8"/>
      <c r="I87" s="8"/>
      <c r="J87" s="8">
        <f t="shared" si="6"/>
        <v>0</v>
      </c>
      <c r="K87" s="8">
        <f t="shared" si="7"/>
        <v>200</v>
      </c>
    </row>
    <row r="88" spans="1:11" ht="15" customHeight="1" x14ac:dyDescent="0.25">
      <c r="A88" s="13"/>
      <c r="B88" s="6">
        <v>46286</v>
      </c>
      <c r="C88" s="2">
        <v>200</v>
      </c>
      <c r="D88" s="8">
        <v>88</v>
      </c>
      <c r="E88" s="8"/>
      <c r="F88" s="8">
        <v>50</v>
      </c>
      <c r="G88" s="8"/>
      <c r="H88" s="8"/>
      <c r="I88" s="8"/>
      <c r="J88" s="8">
        <f t="shared" si="6"/>
        <v>138</v>
      </c>
      <c r="K88" s="8">
        <f t="shared" si="7"/>
        <v>62</v>
      </c>
    </row>
    <row r="89" spans="1:11" x14ac:dyDescent="0.25">
      <c r="A89" s="13"/>
      <c r="B89" s="6">
        <v>46287</v>
      </c>
      <c r="C89" s="2">
        <v>200</v>
      </c>
      <c r="D89" s="8">
        <v>88</v>
      </c>
      <c r="E89" s="8"/>
      <c r="F89" s="8">
        <v>50</v>
      </c>
      <c r="G89" s="8"/>
      <c r="H89" s="8"/>
      <c r="I89" s="8"/>
      <c r="J89" s="8">
        <f t="shared" si="6"/>
        <v>138</v>
      </c>
      <c r="K89" s="8">
        <f t="shared" si="7"/>
        <v>62</v>
      </c>
    </row>
    <row r="90" spans="1:11" x14ac:dyDescent="0.25">
      <c r="A90" s="13"/>
      <c r="B90" s="6">
        <v>46288</v>
      </c>
      <c r="C90" s="2">
        <v>200</v>
      </c>
      <c r="D90" s="8">
        <v>88</v>
      </c>
      <c r="E90" s="8"/>
      <c r="F90" s="8">
        <v>50</v>
      </c>
      <c r="G90" s="8"/>
      <c r="H90" s="8"/>
      <c r="I90" s="8"/>
      <c r="J90" s="8">
        <f t="shared" si="6"/>
        <v>138</v>
      </c>
      <c r="K90" s="8">
        <f t="shared" si="7"/>
        <v>62</v>
      </c>
    </row>
    <row r="91" spans="1:11" x14ac:dyDescent="0.25">
      <c r="A91" s="13"/>
      <c r="B91" s="6">
        <v>46289</v>
      </c>
      <c r="C91" s="2">
        <v>200</v>
      </c>
      <c r="D91" s="8">
        <v>88</v>
      </c>
      <c r="E91" s="8"/>
      <c r="F91" s="8">
        <v>50</v>
      </c>
      <c r="G91" s="8"/>
      <c r="H91" s="8"/>
      <c r="I91" s="8"/>
      <c r="J91" s="8">
        <f t="shared" si="6"/>
        <v>138</v>
      </c>
      <c r="K91" s="8">
        <f t="shared" si="7"/>
        <v>62</v>
      </c>
    </row>
    <row r="92" spans="1:11" x14ac:dyDescent="0.25">
      <c r="A92" s="13"/>
      <c r="B92" s="6">
        <v>46290</v>
      </c>
      <c r="C92" s="2">
        <v>200</v>
      </c>
      <c r="D92" s="8">
        <v>88</v>
      </c>
      <c r="E92" s="8"/>
      <c r="F92" s="8">
        <v>50</v>
      </c>
      <c r="G92" s="8"/>
      <c r="H92" s="8"/>
      <c r="I92" s="8"/>
      <c r="J92" s="8">
        <f t="shared" si="6"/>
        <v>138</v>
      </c>
      <c r="K92" s="8">
        <f t="shared" si="7"/>
        <v>62</v>
      </c>
    </row>
    <row r="93" spans="1:11" x14ac:dyDescent="0.25">
      <c r="A93" s="13"/>
      <c r="B93" s="6">
        <v>46291</v>
      </c>
      <c r="C93" s="2">
        <v>200</v>
      </c>
      <c r="E93" s="8"/>
      <c r="G93" s="8"/>
      <c r="H93" s="8"/>
      <c r="I93" s="8"/>
      <c r="J93" s="8">
        <f t="shared" si="6"/>
        <v>0</v>
      </c>
      <c r="K93" s="8">
        <f t="shared" si="7"/>
        <v>200</v>
      </c>
    </row>
    <row r="94" spans="1:11" x14ac:dyDescent="0.25">
      <c r="A94" s="13"/>
      <c r="B94" s="6">
        <v>46292</v>
      </c>
      <c r="C94" s="2">
        <v>200</v>
      </c>
      <c r="E94" s="8"/>
      <c r="G94" s="8"/>
      <c r="H94" s="8"/>
      <c r="I94" s="8"/>
      <c r="J94" s="8">
        <f t="shared" si="6"/>
        <v>0</v>
      </c>
      <c r="K94" s="8">
        <f t="shared" si="7"/>
        <v>200</v>
      </c>
    </row>
    <row r="95" spans="1:11" x14ac:dyDescent="0.25">
      <c r="A95" s="13"/>
      <c r="B95" s="6">
        <v>46293</v>
      </c>
      <c r="C95" s="2">
        <v>200</v>
      </c>
      <c r="D95" s="8">
        <v>88</v>
      </c>
      <c r="E95" s="8"/>
      <c r="F95" s="8">
        <v>50</v>
      </c>
      <c r="G95" s="8"/>
      <c r="H95" s="8"/>
      <c r="I95" s="8"/>
      <c r="J95" s="8">
        <f t="shared" si="6"/>
        <v>138</v>
      </c>
      <c r="K95" s="8">
        <f t="shared" si="7"/>
        <v>62</v>
      </c>
    </row>
    <row r="96" spans="1:11" x14ac:dyDescent="0.25">
      <c r="A96" s="13"/>
      <c r="B96" s="6">
        <v>46294</v>
      </c>
      <c r="C96" s="2">
        <v>200</v>
      </c>
      <c r="D96" s="8">
        <v>88</v>
      </c>
      <c r="E96" s="8"/>
      <c r="F96" s="8">
        <v>50</v>
      </c>
      <c r="G96" s="8"/>
      <c r="H96" s="8"/>
      <c r="I96" s="8"/>
      <c r="J96" s="8">
        <f t="shared" si="6"/>
        <v>138</v>
      </c>
      <c r="K96" s="8">
        <f t="shared" si="7"/>
        <v>62</v>
      </c>
    </row>
    <row r="97" spans="1:11" x14ac:dyDescent="0.25">
      <c r="A97" s="13"/>
      <c r="B97" s="6">
        <v>46295</v>
      </c>
      <c r="C97" s="2">
        <v>200</v>
      </c>
      <c r="D97" s="8">
        <v>88</v>
      </c>
      <c r="E97" s="8"/>
      <c r="F97" s="8">
        <v>50</v>
      </c>
      <c r="G97" s="8"/>
      <c r="H97" s="8"/>
      <c r="I97" s="8"/>
      <c r="J97" s="8">
        <f t="shared" si="6"/>
        <v>138</v>
      </c>
      <c r="K97" s="8">
        <f t="shared" si="7"/>
        <v>62</v>
      </c>
    </row>
    <row r="98" spans="1:11" x14ac:dyDescent="0.25">
      <c r="A98" s="9"/>
      <c r="B98" s="6"/>
      <c r="C98" s="2">
        <f>SUM(C68:C97)</f>
        <v>6000</v>
      </c>
      <c r="D98" s="2">
        <f>SUM(D68:D97)</f>
        <v>1936</v>
      </c>
      <c r="E98" s="2">
        <f ca="1">SUM(E68:E98)</f>
        <v>0</v>
      </c>
      <c r="F98" s="2">
        <f>SUM(F68:F97)</f>
        <v>1100</v>
      </c>
      <c r="G98" s="2">
        <f ca="1">SUM(G68:G98)</f>
        <v>0</v>
      </c>
      <c r="H98" s="2">
        <f ca="1">SUM(H68:H98)</f>
        <v>1000</v>
      </c>
      <c r="I98" s="2">
        <f ca="1">SUM(I68:I98)</f>
        <v>0</v>
      </c>
      <c r="J98" s="2">
        <f>SUM(J68:J97)</f>
        <v>4036</v>
      </c>
      <c r="K98" s="8">
        <f>SUM(K68:K97)</f>
        <v>1964</v>
      </c>
    </row>
    <row r="99" spans="1:11" ht="15.75" x14ac:dyDescent="0.25">
      <c r="A99" s="4" t="s">
        <v>34</v>
      </c>
      <c r="B99" s="5" t="s">
        <v>36</v>
      </c>
      <c r="C99" s="5" t="s">
        <v>37</v>
      </c>
      <c r="D99" s="5" t="s">
        <v>19</v>
      </c>
      <c r="E99" s="5" t="s">
        <v>4</v>
      </c>
      <c r="F99" s="5" t="s">
        <v>5</v>
      </c>
      <c r="G99" s="5" t="s">
        <v>16</v>
      </c>
      <c r="H99" s="5" t="s">
        <v>6</v>
      </c>
      <c r="I99" s="5" t="s">
        <v>8</v>
      </c>
      <c r="J99" s="5" t="s">
        <v>33</v>
      </c>
      <c r="K99" s="5" t="s">
        <v>22</v>
      </c>
    </row>
    <row r="100" spans="1:11" ht="15" customHeight="1" x14ac:dyDescent="0.25">
      <c r="A100" s="13" t="s">
        <v>41</v>
      </c>
      <c r="B100" s="6">
        <v>46296</v>
      </c>
      <c r="C100" s="2">
        <v>200</v>
      </c>
      <c r="D100" s="8">
        <v>88</v>
      </c>
      <c r="E100" s="8"/>
      <c r="F100" s="8">
        <v>50</v>
      </c>
      <c r="G100" s="8"/>
      <c r="H100" s="8"/>
      <c r="I100" s="8"/>
      <c r="J100" s="8">
        <f t="shared" ref="J100:J130" si="8">SUM(D100:I100)</f>
        <v>138</v>
      </c>
      <c r="K100" s="8">
        <f t="shared" ref="K100:K130" si="9">SUM(C100-J100)</f>
        <v>62</v>
      </c>
    </row>
    <row r="101" spans="1:11" x14ac:dyDescent="0.25">
      <c r="A101" s="13"/>
      <c r="B101" s="6">
        <v>46297</v>
      </c>
      <c r="C101" s="2">
        <v>200</v>
      </c>
      <c r="D101" s="8">
        <v>88</v>
      </c>
      <c r="E101" s="8"/>
      <c r="F101" s="8">
        <v>50</v>
      </c>
      <c r="G101" s="8"/>
      <c r="H101" s="8"/>
      <c r="I101" s="8"/>
      <c r="J101" s="8">
        <f t="shared" si="8"/>
        <v>138</v>
      </c>
      <c r="K101" s="8">
        <f t="shared" si="9"/>
        <v>62</v>
      </c>
    </row>
    <row r="102" spans="1:11" x14ac:dyDescent="0.25">
      <c r="A102" s="13"/>
      <c r="B102" s="6">
        <v>46298</v>
      </c>
      <c r="C102" s="2">
        <v>200</v>
      </c>
      <c r="D102" s="8"/>
      <c r="E102" s="8"/>
      <c r="F102" s="8"/>
      <c r="G102" s="8"/>
      <c r="H102" s="8"/>
      <c r="I102" s="8"/>
      <c r="J102" s="8">
        <f t="shared" si="8"/>
        <v>0</v>
      </c>
      <c r="K102" s="8">
        <f t="shared" si="9"/>
        <v>200</v>
      </c>
    </row>
    <row r="103" spans="1:11" x14ac:dyDescent="0.25">
      <c r="A103" s="13"/>
      <c r="B103" s="6">
        <v>46299</v>
      </c>
      <c r="C103" s="2">
        <v>200</v>
      </c>
      <c r="D103" s="8"/>
      <c r="E103" s="8"/>
      <c r="F103" s="8"/>
      <c r="G103" s="8"/>
      <c r="H103" s="8"/>
      <c r="I103" s="8"/>
      <c r="J103" s="8">
        <f t="shared" si="8"/>
        <v>0</v>
      </c>
      <c r="K103" s="8">
        <f t="shared" si="9"/>
        <v>200</v>
      </c>
    </row>
    <row r="104" spans="1:11" x14ac:dyDescent="0.25">
      <c r="A104" s="13"/>
      <c r="B104" s="6">
        <v>46300</v>
      </c>
      <c r="C104" s="2">
        <v>200</v>
      </c>
      <c r="D104" s="8">
        <v>88</v>
      </c>
      <c r="E104" s="8"/>
      <c r="F104" s="8">
        <v>50</v>
      </c>
      <c r="G104" s="8"/>
      <c r="H104" s="8"/>
      <c r="I104" s="8"/>
      <c r="J104" s="8">
        <f t="shared" si="8"/>
        <v>138</v>
      </c>
      <c r="K104" s="8">
        <f t="shared" si="9"/>
        <v>62</v>
      </c>
    </row>
    <row r="105" spans="1:11" x14ac:dyDescent="0.25">
      <c r="A105" s="13"/>
      <c r="B105" s="6">
        <v>46301</v>
      </c>
      <c r="C105" s="2">
        <v>200</v>
      </c>
      <c r="D105" s="8">
        <v>88</v>
      </c>
      <c r="E105" s="8"/>
      <c r="F105" s="8">
        <v>50</v>
      </c>
      <c r="G105" s="8"/>
      <c r="H105" s="8"/>
      <c r="I105" s="8"/>
      <c r="J105" s="8">
        <f t="shared" si="8"/>
        <v>138</v>
      </c>
      <c r="K105" s="8">
        <f t="shared" si="9"/>
        <v>62</v>
      </c>
    </row>
    <row r="106" spans="1:11" x14ac:dyDescent="0.25">
      <c r="A106" s="13"/>
      <c r="B106" s="6">
        <v>46302</v>
      </c>
      <c r="C106" s="2">
        <v>200</v>
      </c>
      <c r="D106" s="8">
        <v>88</v>
      </c>
      <c r="E106" s="8"/>
      <c r="F106" s="8">
        <v>50</v>
      </c>
      <c r="G106" s="8"/>
      <c r="H106" s="8"/>
      <c r="I106" s="8"/>
      <c r="J106" s="8">
        <f t="shared" si="8"/>
        <v>138</v>
      </c>
      <c r="K106" s="8">
        <f t="shared" si="9"/>
        <v>62</v>
      </c>
    </row>
    <row r="107" spans="1:11" x14ac:dyDescent="0.25">
      <c r="A107" s="13"/>
      <c r="B107" s="6">
        <v>46303</v>
      </c>
      <c r="C107" s="2">
        <v>200</v>
      </c>
      <c r="D107" s="8">
        <v>88</v>
      </c>
      <c r="E107" s="8"/>
      <c r="F107" s="8">
        <v>50</v>
      </c>
      <c r="G107" s="8"/>
      <c r="H107" s="8"/>
      <c r="I107" s="8"/>
      <c r="J107" s="8">
        <f t="shared" si="8"/>
        <v>138</v>
      </c>
      <c r="K107" s="8">
        <f t="shared" si="9"/>
        <v>62</v>
      </c>
    </row>
    <row r="108" spans="1:11" x14ac:dyDescent="0.25">
      <c r="A108" s="13"/>
      <c r="B108" s="6">
        <v>46304</v>
      </c>
      <c r="C108" s="2">
        <v>200</v>
      </c>
      <c r="D108" s="8">
        <v>88</v>
      </c>
      <c r="F108" s="8">
        <v>50</v>
      </c>
      <c r="G108" s="8"/>
      <c r="H108" s="8"/>
      <c r="I108" s="8"/>
      <c r="J108" s="8">
        <f t="shared" si="8"/>
        <v>138</v>
      </c>
      <c r="K108" s="8">
        <f t="shared" si="9"/>
        <v>62</v>
      </c>
    </row>
    <row r="109" spans="1:11" x14ac:dyDescent="0.25">
      <c r="A109" s="13"/>
      <c r="B109" s="6">
        <v>46305</v>
      </c>
      <c r="C109" s="2">
        <v>200</v>
      </c>
      <c r="G109" s="8"/>
      <c r="H109" s="8"/>
      <c r="I109" s="8"/>
      <c r="J109" s="8">
        <f t="shared" si="8"/>
        <v>0</v>
      </c>
      <c r="K109" s="8">
        <f t="shared" si="9"/>
        <v>200</v>
      </c>
    </row>
    <row r="110" spans="1:11" x14ac:dyDescent="0.25">
      <c r="A110" s="13"/>
      <c r="B110" s="6">
        <v>46306</v>
      </c>
      <c r="C110" s="2">
        <v>200</v>
      </c>
      <c r="D110" s="8"/>
      <c r="E110" s="8"/>
      <c r="F110" s="8"/>
      <c r="G110" s="8"/>
      <c r="H110" s="8"/>
      <c r="I110" s="8"/>
      <c r="J110" s="8">
        <f t="shared" si="8"/>
        <v>0</v>
      </c>
      <c r="K110" s="8">
        <f t="shared" si="9"/>
        <v>200</v>
      </c>
    </row>
    <row r="111" spans="1:11" x14ac:dyDescent="0.25">
      <c r="A111" s="13"/>
      <c r="B111" s="6">
        <v>46307</v>
      </c>
      <c r="C111" s="2">
        <v>200</v>
      </c>
      <c r="D111" s="8">
        <v>88</v>
      </c>
      <c r="E111" s="8"/>
      <c r="F111" s="8">
        <v>50</v>
      </c>
      <c r="G111" s="8"/>
      <c r="H111" s="8"/>
      <c r="I111" s="8"/>
      <c r="J111" s="8">
        <f t="shared" si="8"/>
        <v>138</v>
      </c>
      <c r="K111" s="8">
        <f t="shared" si="9"/>
        <v>62</v>
      </c>
    </row>
    <row r="112" spans="1:11" x14ac:dyDescent="0.25">
      <c r="A112" s="13"/>
      <c r="B112" s="6">
        <v>46308</v>
      </c>
      <c r="C112" s="2">
        <v>200</v>
      </c>
      <c r="D112" s="8">
        <v>88</v>
      </c>
      <c r="E112" s="8"/>
      <c r="F112" s="8">
        <v>50</v>
      </c>
      <c r="G112" s="8"/>
      <c r="I112" s="8"/>
      <c r="J112" s="8">
        <f t="shared" si="8"/>
        <v>138</v>
      </c>
      <c r="K112" s="8">
        <f t="shared" si="9"/>
        <v>62</v>
      </c>
    </row>
    <row r="113" spans="1:11" x14ac:dyDescent="0.25">
      <c r="A113" s="13"/>
      <c r="B113" s="6">
        <v>46309</v>
      </c>
      <c r="C113" s="2">
        <v>200</v>
      </c>
      <c r="D113" s="8">
        <v>88</v>
      </c>
      <c r="E113" s="8"/>
      <c r="F113" s="8">
        <v>50</v>
      </c>
      <c r="G113" s="8"/>
      <c r="H113" s="8"/>
      <c r="I113" s="8"/>
      <c r="J113" s="8">
        <f t="shared" si="8"/>
        <v>138</v>
      </c>
      <c r="K113" s="8">
        <f t="shared" si="9"/>
        <v>62</v>
      </c>
    </row>
    <row r="114" spans="1:11" x14ac:dyDescent="0.25">
      <c r="A114" s="13"/>
      <c r="B114" s="6">
        <v>46310</v>
      </c>
      <c r="C114" s="2">
        <v>200</v>
      </c>
      <c r="D114" s="8">
        <v>88</v>
      </c>
      <c r="E114" s="8"/>
      <c r="F114" s="8">
        <v>50</v>
      </c>
      <c r="G114" s="8"/>
      <c r="H114" s="8"/>
      <c r="I114" s="8"/>
      <c r="J114" s="8">
        <f t="shared" si="8"/>
        <v>138</v>
      </c>
      <c r="K114" s="8">
        <f t="shared" si="9"/>
        <v>62</v>
      </c>
    </row>
    <row r="115" spans="1:11" x14ac:dyDescent="0.25">
      <c r="A115" s="13"/>
      <c r="B115" s="6">
        <v>46311</v>
      </c>
      <c r="C115" s="2">
        <v>200</v>
      </c>
      <c r="D115" s="8">
        <v>88</v>
      </c>
      <c r="F115" s="8">
        <v>50</v>
      </c>
      <c r="G115" s="8"/>
      <c r="I115" s="8"/>
      <c r="J115" s="8">
        <f t="shared" si="8"/>
        <v>138</v>
      </c>
      <c r="K115" s="8">
        <f t="shared" si="9"/>
        <v>62</v>
      </c>
    </row>
    <row r="116" spans="1:11" x14ac:dyDescent="0.25">
      <c r="A116" s="13"/>
      <c r="B116" s="6">
        <v>46312</v>
      </c>
      <c r="C116" s="2">
        <v>200</v>
      </c>
      <c r="G116" s="8"/>
      <c r="H116" s="8"/>
      <c r="I116" s="8"/>
      <c r="J116" s="8">
        <f t="shared" si="8"/>
        <v>0</v>
      </c>
      <c r="K116" s="8">
        <f t="shared" si="9"/>
        <v>200</v>
      </c>
    </row>
    <row r="117" spans="1:11" x14ac:dyDescent="0.25">
      <c r="A117" s="13"/>
      <c r="B117" s="6">
        <v>46313</v>
      </c>
      <c r="C117" s="2">
        <v>200</v>
      </c>
      <c r="D117" s="8"/>
      <c r="E117" s="8"/>
      <c r="F117" s="8"/>
      <c r="G117" s="8"/>
      <c r="H117" s="8">
        <v>1000</v>
      </c>
      <c r="I117" s="8"/>
      <c r="J117" s="8">
        <f t="shared" si="8"/>
        <v>1000</v>
      </c>
      <c r="K117" s="8">
        <f t="shared" si="9"/>
        <v>-800</v>
      </c>
    </row>
    <row r="118" spans="1:11" x14ac:dyDescent="0.25">
      <c r="A118" s="13"/>
      <c r="B118" s="6">
        <v>46314</v>
      </c>
      <c r="C118" s="2">
        <v>200</v>
      </c>
      <c r="D118" s="8">
        <v>88</v>
      </c>
      <c r="E118" s="8"/>
      <c r="F118" s="8">
        <v>50</v>
      </c>
      <c r="G118" s="8"/>
      <c r="H118" s="8"/>
      <c r="I118" s="8"/>
      <c r="J118" s="8">
        <f t="shared" si="8"/>
        <v>138</v>
      </c>
      <c r="K118" s="8">
        <f t="shared" si="9"/>
        <v>62</v>
      </c>
    </row>
    <row r="119" spans="1:11" x14ac:dyDescent="0.25">
      <c r="A119" s="13"/>
      <c r="B119" s="6">
        <v>46315</v>
      </c>
      <c r="C119" s="2">
        <v>200</v>
      </c>
      <c r="D119" s="8">
        <v>88</v>
      </c>
      <c r="E119" s="8"/>
      <c r="F119" s="8">
        <v>50</v>
      </c>
      <c r="G119" s="8"/>
      <c r="I119" s="8"/>
      <c r="J119" s="8">
        <f t="shared" si="8"/>
        <v>138</v>
      </c>
      <c r="K119" s="8">
        <f t="shared" si="9"/>
        <v>62</v>
      </c>
    </row>
    <row r="120" spans="1:11" x14ac:dyDescent="0.25">
      <c r="A120" s="13"/>
      <c r="B120" s="6">
        <v>46316</v>
      </c>
      <c r="C120" s="2">
        <v>200</v>
      </c>
      <c r="D120" s="8">
        <v>88</v>
      </c>
      <c r="E120" s="8"/>
      <c r="F120" s="8">
        <v>50</v>
      </c>
      <c r="G120" s="8"/>
      <c r="H120" s="8"/>
      <c r="I120" s="8"/>
      <c r="J120" s="8">
        <f t="shared" si="8"/>
        <v>138</v>
      </c>
      <c r="K120" s="8">
        <f t="shared" si="9"/>
        <v>62</v>
      </c>
    </row>
    <row r="121" spans="1:11" x14ac:dyDescent="0.25">
      <c r="A121" s="13"/>
      <c r="B121" s="6">
        <v>46317</v>
      </c>
      <c r="C121" s="2">
        <v>200</v>
      </c>
      <c r="D121" s="8">
        <v>88</v>
      </c>
      <c r="E121" s="8"/>
      <c r="F121" s="8">
        <v>50</v>
      </c>
      <c r="G121" s="8"/>
      <c r="H121" s="8"/>
      <c r="I121" s="8"/>
      <c r="J121" s="8">
        <f t="shared" si="8"/>
        <v>138</v>
      </c>
      <c r="K121" s="8">
        <f t="shared" si="9"/>
        <v>62</v>
      </c>
    </row>
    <row r="122" spans="1:11" ht="15" customHeight="1" x14ac:dyDescent="0.25">
      <c r="A122" s="13"/>
      <c r="B122" s="6">
        <v>46318</v>
      </c>
      <c r="C122" s="2">
        <v>200</v>
      </c>
      <c r="D122" s="8">
        <v>88</v>
      </c>
      <c r="F122" s="8">
        <v>50</v>
      </c>
      <c r="G122" s="8"/>
      <c r="H122" s="8"/>
      <c r="I122" s="8"/>
      <c r="J122" s="8">
        <f t="shared" si="8"/>
        <v>138</v>
      </c>
      <c r="K122" s="8">
        <f t="shared" si="9"/>
        <v>62</v>
      </c>
    </row>
    <row r="123" spans="1:11" x14ac:dyDescent="0.25">
      <c r="A123" s="13"/>
      <c r="B123" s="6">
        <v>46319</v>
      </c>
      <c r="C123" s="2">
        <v>200</v>
      </c>
      <c r="G123" s="8"/>
      <c r="H123" s="8"/>
      <c r="I123" s="8"/>
      <c r="J123" s="8">
        <f t="shared" si="8"/>
        <v>0</v>
      </c>
      <c r="K123" s="8">
        <f t="shared" si="9"/>
        <v>200</v>
      </c>
    </row>
    <row r="124" spans="1:11" x14ac:dyDescent="0.25">
      <c r="A124" s="13"/>
      <c r="B124" s="6">
        <v>46320</v>
      </c>
      <c r="C124" s="2">
        <v>200</v>
      </c>
      <c r="D124" s="8"/>
      <c r="E124" s="8"/>
      <c r="F124" s="8"/>
      <c r="G124" s="8"/>
      <c r="H124" s="8"/>
      <c r="I124" s="8"/>
      <c r="J124" s="8">
        <f t="shared" si="8"/>
        <v>0</v>
      </c>
      <c r="K124" s="8">
        <f t="shared" si="9"/>
        <v>200</v>
      </c>
    </row>
    <row r="125" spans="1:11" x14ac:dyDescent="0.25">
      <c r="A125" s="13"/>
      <c r="B125" s="6">
        <v>46321</v>
      </c>
      <c r="C125" s="2">
        <v>200</v>
      </c>
      <c r="D125" s="8">
        <v>88</v>
      </c>
      <c r="E125" s="8"/>
      <c r="F125" s="8">
        <v>50</v>
      </c>
      <c r="G125" s="8"/>
      <c r="H125" s="8"/>
      <c r="I125" s="8"/>
      <c r="J125" s="8">
        <f t="shared" si="8"/>
        <v>138</v>
      </c>
      <c r="K125" s="8">
        <f t="shared" si="9"/>
        <v>62</v>
      </c>
    </row>
    <row r="126" spans="1:11" x14ac:dyDescent="0.25">
      <c r="A126" s="13"/>
      <c r="B126" s="6">
        <v>46322</v>
      </c>
      <c r="C126" s="2">
        <v>200</v>
      </c>
      <c r="D126" s="8">
        <v>88</v>
      </c>
      <c r="E126" s="8"/>
      <c r="F126" s="8">
        <v>50</v>
      </c>
      <c r="G126" s="8"/>
      <c r="H126" s="8"/>
      <c r="I126" s="8"/>
      <c r="J126" s="8">
        <f t="shared" si="8"/>
        <v>138</v>
      </c>
      <c r="K126" s="8">
        <f t="shared" si="9"/>
        <v>62</v>
      </c>
    </row>
    <row r="127" spans="1:11" x14ac:dyDescent="0.25">
      <c r="A127" s="13"/>
      <c r="B127" s="6">
        <v>46323</v>
      </c>
      <c r="C127" s="2">
        <v>200</v>
      </c>
      <c r="D127" s="8">
        <v>88</v>
      </c>
      <c r="E127" s="8"/>
      <c r="F127" s="8">
        <v>50</v>
      </c>
      <c r="G127" s="8"/>
      <c r="H127" s="8"/>
      <c r="I127" s="8"/>
      <c r="J127" s="8">
        <f t="shared" si="8"/>
        <v>138</v>
      </c>
      <c r="K127" s="8">
        <f t="shared" si="9"/>
        <v>62</v>
      </c>
    </row>
    <row r="128" spans="1:11" x14ac:dyDescent="0.25">
      <c r="A128" s="13"/>
      <c r="B128" s="6">
        <v>46324</v>
      </c>
      <c r="C128" s="2">
        <v>200</v>
      </c>
      <c r="D128" s="8">
        <v>88</v>
      </c>
      <c r="E128" s="8"/>
      <c r="F128" s="8">
        <v>50</v>
      </c>
      <c r="G128" s="8"/>
      <c r="H128" s="8"/>
      <c r="I128" s="8"/>
      <c r="J128" s="8">
        <f t="shared" si="8"/>
        <v>138</v>
      </c>
      <c r="K128" s="8">
        <f t="shared" si="9"/>
        <v>62</v>
      </c>
    </row>
    <row r="129" spans="1:11" x14ac:dyDescent="0.25">
      <c r="A129" s="13"/>
      <c r="B129" s="6">
        <v>46325</v>
      </c>
      <c r="C129" s="2">
        <v>200</v>
      </c>
      <c r="D129" s="8">
        <v>88</v>
      </c>
      <c r="F129" s="8">
        <v>50</v>
      </c>
      <c r="G129" s="8"/>
      <c r="H129" s="8"/>
      <c r="I129" s="8"/>
      <c r="J129" s="8">
        <f t="shared" si="8"/>
        <v>138</v>
      </c>
      <c r="K129" s="8">
        <f t="shared" si="9"/>
        <v>62</v>
      </c>
    </row>
    <row r="130" spans="1:11" x14ac:dyDescent="0.25">
      <c r="A130" s="13"/>
      <c r="B130" s="6">
        <v>46326</v>
      </c>
      <c r="C130" s="2">
        <v>200</v>
      </c>
      <c r="G130" s="8"/>
      <c r="H130" s="8"/>
      <c r="I130" s="8"/>
      <c r="J130" s="8">
        <f t="shared" si="8"/>
        <v>0</v>
      </c>
      <c r="K130" s="8">
        <f t="shared" si="9"/>
        <v>200</v>
      </c>
    </row>
    <row r="131" spans="1:11" x14ac:dyDescent="0.25">
      <c r="C131" s="2">
        <f>SUM(C100:C130)</f>
        <v>6200</v>
      </c>
      <c r="D131" s="2">
        <f>SUM(D100:D129)</f>
        <v>1936</v>
      </c>
      <c r="E131" s="2">
        <f ca="1">SUM(E100:E131)</f>
        <v>0</v>
      </c>
      <c r="F131" s="2">
        <f t="shared" ref="F131:K131" si="10">SUM(F100:F130)</f>
        <v>1100</v>
      </c>
      <c r="G131" s="2">
        <f t="shared" si="10"/>
        <v>0</v>
      </c>
      <c r="H131" s="2">
        <f t="shared" si="10"/>
        <v>1000</v>
      </c>
      <c r="I131" s="2">
        <f t="shared" si="10"/>
        <v>0</v>
      </c>
      <c r="J131" s="2">
        <f t="shared" si="10"/>
        <v>4036</v>
      </c>
      <c r="K131" s="8">
        <f t="shared" si="10"/>
        <v>2164</v>
      </c>
    </row>
    <row r="132" spans="1:11" ht="15.75" x14ac:dyDescent="0.25">
      <c r="A132" s="4" t="s">
        <v>34</v>
      </c>
      <c r="B132" s="5" t="s">
        <v>36</v>
      </c>
      <c r="C132" s="5" t="s">
        <v>37</v>
      </c>
      <c r="D132" s="5" t="s">
        <v>19</v>
      </c>
      <c r="E132" s="5" t="s">
        <v>4</v>
      </c>
      <c r="F132" s="5" t="s">
        <v>5</v>
      </c>
      <c r="G132" s="5" t="s">
        <v>16</v>
      </c>
      <c r="H132" s="5" t="s">
        <v>6</v>
      </c>
      <c r="I132" s="5" t="s">
        <v>8</v>
      </c>
      <c r="J132" s="5" t="s">
        <v>33</v>
      </c>
      <c r="K132" s="5" t="s">
        <v>22</v>
      </c>
    </row>
    <row r="133" spans="1:11" ht="15" customHeight="1" x14ac:dyDescent="0.25">
      <c r="A133" s="13" t="s">
        <v>42</v>
      </c>
      <c r="B133" s="6">
        <v>46327</v>
      </c>
      <c r="C133" s="2">
        <v>200</v>
      </c>
      <c r="G133" s="8"/>
      <c r="H133" s="8"/>
      <c r="I133" s="8"/>
      <c r="J133" s="8">
        <f t="shared" ref="J133:J162" si="11">SUM(D133:I133)</f>
        <v>0</v>
      </c>
      <c r="K133" s="8">
        <f t="shared" ref="K133:K162" si="12">SUM(C133-J133)</f>
        <v>200</v>
      </c>
    </row>
    <row r="134" spans="1:11" x14ac:dyDescent="0.25">
      <c r="A134" s="13"/>
      <c r="B134" s="6">
        <v>46328</v>
      </c>
      <c r="C134" s="2">
        <v>200</v>
      </c>
      <c r="D134" s="8">
        <v>88</v>
      </c>
      <c r="E134" s="8"/>
      <c r="F134" s="8">
        <v>50</v>
      </c>
      <c r="G134" s="8"/>
      <c r="H134" s="8"/>
      <c r="I134" s="8"/>
      <c r="J134" s="8">
        <f t="shared" si="11"/>
        <v>138</v>
      </c>
      <c r="K134" s="8">
        <f t="shared" si="12"/>
        <v>62</v>
      </c>
    </row>
    <row r="135" spans="1:11" x14ac:dyDescent="0.25">
      <c r="A135" s="13"/>
      <c r="B135" s="6">
        <v>46329</v>
      </c>
      <c r="C135" s="2">
        <v>200</v>
      </c>
      <c r="D135" s="8">
        <v>88</v>
      </c>
      <c r="E135" s="8"/>
      <c r="F135" s="8">
        <v>50</v>
      </c>
      <c r="G135" s="8"/>
      <c r="H135" s="8"/>
      <c r="I135" s="8"/>
      <c r="J135" s="8">
        <f t="shared" si="11"/>
        <v>138</v>
      </c>
      <c r="K135" s="8">
        <f t="shared" si="12"/>
        <v>62</v>
      </c>
    </row>
    <row r="136" spans="1:11" x14ac:dyDescent="0.25">
      <c r="A136" s="13"/>
      <c r="B136" s="6">
        <v>46330</v>
      </c>
      <c r="C136" s="2">
        <v>200</v>
      </c>
      <c r="D136" s="8">
        <v>88</v>
      </c>
      <c r="E136" s="8"/>
      <c r="F136" s="8">
        <v>50</v>
      </c>
      <c r="G136" s="8"/>
      <c r="H136" s="8"/>
      <c r="I136" s="8"/>
      <c r="J136" s="8">
        <f t="shared" si="11"/>
        <v>138</v>
      </c>
      <c r="K136" s="8">
        <f t="shared" si="12"/>
        <v>62</v>
      </c>
    </row>
    <row r="137" spans="1:11" x14ac:dyDescent="0.25">
      <c r="A137" s="13"/>
      <c r="B137" s="6">
        <v>46331</v>
      </c>
      <c r="C137" s="2">
        <v>200</v>
      </c>
      <c r="D137" s="8">
        <v>88</v>
      </c>
      <c r="E137" s="8"/>
      <c r="F137" s="8">
        <v>50</v>
      </c>
      <c r="G137" s="8"/>
      <c r="H137" s="8"/>
      <c r="I137" s="8"/>
      <c r="J137" s="8">
        <f t="shared" si="11"/>
        <v>138</v>
      </c>
      <c r="K137" s="8">
        <f t="shared" si="12"/>
        <v>62</v>
      </c>
    </row>
    <row r="138" spans="1:11" x14ac:dyDescent="0.25">
      <c r="A138" s="13"/>
      <c r="B138" s="6">
        <v>46332</v>
      </c>
      <c r="C138" s="2">
        <v>200</v>
      </c>
      <c r="D138" s="8">
        <v>88</v>
      </c>
      <c r="E138" s="8"/>
      <c r="F138" s="8">
        <v>50</v>
      </c>
      <c r="G138" s="8"/>
      <c r="H138" s="8"/>
      <c r="I138" s="8"/>
      <c r="J138" s="8">
        <f t="shared" si="11"/>
        <v>138</v>
      </c>
      <c r="K138" s="8">
        <f t="shared" si="12"/>
        <v>62</v>
      </c>
    </row>
    <row r="139" spans="1:11" x14ac:dyDescent="0.25">
      <c r="A139" s="13"/>
      <c r="B139" s="6">
        <v>46333</v>
      </c>
      <c r="C139" s="2">
        <v>200</v>
      </c>
      <c r="G139" s="8"/>
      <c r="H139" s="8"/>
      <c r="I139" s="8"/>
      <c r="J139" s="8">
        <f t="shared" si="11"/>
        <v>0</v>
      </c>
      <c r="K139" s="8">
        <f t="shared" si="12"/>
        <v>200</v>
      </c>
    </row>
    <row r="140" spans="1:11" x14ac:dyDescent="0.25">
      <c r="A140" s="13"/>
      <c r="B140" s="6">
        <v>46334</v>
      </c>
      <c r="C140" s="2">
        <v>200</v>
      </c>
      <c r="D140" s="8"/>
      <c r="F140" s="8"/>
      <c r="G140" s="8"/>
      <c r="H140" s="8"/>
      <c r="I140" s="8"/>
      <c r="J140" s="8">
        <f t="shared" si="11"/>
        <v>0</v>
      </c>
      <c r="K140" s="8">
        <f t="shared" si="12"/>
        <v>200</v>
      </c>
    </row>
    <row r="141" spans="1:11" x14ac:dyDescent="0.25">
      <c r="A141" s="13"/>
      <c r="B141" s="6">
        <v>46335</v>
      </c>
      <c r="C141" s="2">
        <v>200</v>
      </c>
      <c r="D141" s="8">
        <v>88</v>
      </c>
      <c r="E141" s="8"/>
      <c r="F141" s="8">
        <v>50</v>
      </c>
      <c r="G141" s="8"/>
      <c r="H141" s="8"/>
      <c r="I141" s="8"/>
      <c r="J141" s="8">
        <f t="shared" si="11"/>
        <v>138</v>
      </c>
      <c r="K141" s="8">
        <f t="shared" si="12"/>
        <v>62</v>
      </c>
    </row>
    <row r="142" spans="1:11" x14ac:dyDescent="0.25">
      <c r="A142" s="13"/>
      <c r="B142" s="6">
        <v>46336</v>
      </c>
      <c r="C142" s="2">
        <v>200</v>
      </c>
      <c r="D142" s="8">
        <v>88</v>
      </c>
      <c r="E142" s="8"/>
      <c r="F142" s="8">
        <v>50</v>
      </c>
      <c r="G142" s="8"/>
      <c r="I142" s="8"/>
      <c r="J142" s="8">
        <f t="shared" si="11"/>
        <v>138</v>
      </c>
      <c r="K142" s="8">
        <f t="shared" si="12"/>
        <v>62</v>
      </c>
    </row>
    <row r="143" spans="1:11" x14ac:dyDescent="0.25">
      <c r="A143" s="13"/>
      <c r="B143" s="6">
        <v>46337</v>
      </c>
      <c r="C143" s="2">
        <v>200</v>
      </c>
      <c r="D143" s="8">
        <v>88</v>
      </c>
      <c r="E143" s="8"/>
      <c r="F143" s="8">
        <v>50</v>
      </c>
      <c r="G143" s="8"/>
      <c r="H143" s="8"/>
      <c r="I143" s="8"/>
      <c r="J143" s="8">
        <f t="shared" si="11"/>
        <v>138</v>
      </c>
      <c r="K143" s="8">
        <f t="shared" si="12"/>
        <v>62</v>
      </c>
    </row>
    <row r="144" spans="1:11" x14ac:dyDescent="0.25">
      <c r="A144" s="13"/>
      <c r="B144" s="6">
        <v>46338</v>
      </c>
      <c r="C144" s="2">
        <v>200</v>
      </c>
      <c r="D144" s="8">
        <v>88</v>
      </c>
      <c r="E144" s="8"/>
      <c r="F144" s="8">
        <v>50</v>
      </c>
      <c r="G144" s="8"/>
      <c r="I144" s="8"/>
      <c r="J144" s="8">
        <f t="shared" si="11"/>
        <v>138</v>
      </c>
      <c r="K144" s="8">
        <f t="shared" si="12"/>
        <v>62</v>
      </c>
    </row>
    <row r="145" spans="1:12" x14ac:dyDescent="0.25">
      <c r="A145" s="13"/>
      <c r="B145" s="6">
        <v>46339</v>
      </c>
      <c r="C145" s="2">
        <v>200</v>
      </c>
      <c r="D145" s="8">
        <v>88</v>
      </c>
      <c r="F145" s="8">
        <v>50</v>
      </c>
      <c r="G145" s="8"/>
      <c r="H145" s="8"/>
      <c r="I145" s="8"/>
      <c r="J145" s="8">
        <f t="shared" si="11"/>
        <v>138</v>
      </c>
      <c r="K145" s="8">
        <f t="shared" si="12"/>
        <v>62</v>
      </c>
    </row>
    <row r="146" spans="1:12" x14ac:dyDescent="0.25">
      <c r="A146" s="13"/>
      <c r="B146" s="6">
        <v>46340</v>
      </c>
      <c r="C146" s="2">
        <v>200</v>
      </c>
      <c r="D146" s="8"/>
      <c r="E146" s="8"/>
      <c r="F146" s="8"/>
      <c r="G146" s="8"/>
      <c r="H146" s="8"/>
      <c r="I146" s="8"/>
      <c r="J146" s="8">
        <f t="shared" si="11"/>
        <v>0</v>
      </c>
      <c r="K146" s="8">
        <f t="shared" si="12"/>
        <v>200</v>
      </c>
    </row>
    <row r="147" spans="1:12" x14ac:dyDescent="0.25">
      <c r="A147" s="13"/>
      <c r="B147" s="6">
        <v>46341</v>
      </c>
      <c r="C147" s="2">
        <v>200</v>
      </c>
      <c r="D147" s="8"/>
      <c r="E147" s="8"/>
      <c r="F147" s="8"/>
      <c r="G147" s="8"/>
      <c r="I147" s="8"/>
      <c r="J147" s="8">
        <f t="shared" si="11"/>
        <v>0</v>
      </c>
      <c r="K147" s="8">
        <f t="shared" si="12"/>
        <v>200</v>
      </c>
    </row>
    <row r="148" spans="1:12" x14ac:dyDescent="0.25">
      <c r="A148" s="13"/>
      <c r="B148" s="6">
        <v>46342</v>
      </c>
      <c r="C148" s="2">
        <v>200</v>
      </c>
      <c r="D148" s="8">
        <v>88</v>
      </c>
      <c r="E148" s="8"/>
      <c r="F148" s="8">
        <v>50</v>
      </c>
      <c r="G148" s="8"/>
      <c r="H148" s="8"/>
      <c r="I148" s="8"/>
      <c r="J148" s="8">
        <f t="shared" si="11"/>
        <v>138</v>
      </c>
      <c r="K148" s="8">
        <f t="shared" si="12"/>
        <v>62</v>
      </c>
    </row>
    <row r="149" spans="1:12" x14ac:dyDescent="0.25">
      <c r="A149" s="13"/>
      <c r="B149" s="6">
        <v>46343</v>
      </c>
      <c r="C149" s="2">
        <v>200</v>
      </c>
      <c r="D149" s="8">
        <v>88</v>
      </c>
      <c r="E149" s="8"/>
      <c r="F149" s="8">
        <v>50</v>
      </c>
      <c r="G149" s="8"/>
      <c r="H149" s="8"/>
      <c r="I149" s="8"/>
      <c r="J149" s="8">
        <f t="shared" si="11"/>
        <v>138</v>
      </c>
      <c r="K149" s="8">
        <f t="shared" si="12"/>
        <v>62</v>
      </c>
    </row>
    <row r="150" spans="1:12" x14ac:dyDescent="0.25">
      <c r="A150" s="13"/>
      <c r="B150" s="6">
        <v>46344</v>
      </c>
      <c r="C150" s="2">
        <v>200</v>
      </c>
      <c r="D150" s="8">
        <v>88</v>
      </c>
      <c r="E150" s="8"/>
      <c r="F150" s="8">
        <v>50</v>
      </c>
      <c r="G150" s="8"/>
      <c r="H150" s="8"/>
      <c r="I150" s="8"/>
      <c r="J150" s="8">
        <f t="shared" si="11"/>
        <v>138</v>
      </c>
      <c r="K150" s="8">
        <f t="shared" si="12"/>
        <v>62</v>
      </c>
    </row>
    <row r="151" spans="1:12" x14ac:dyDescent="0.25">
      <c r="A151" s="13"/>
      <c r="B151" s="6">
        <v>46345</v>
      </c>
      <c r="C151" s="2">
        <v>200</v>
      </c>
      <c r="D151" s="8">
        <v>88</v>
      </c>
      <c r="E151" s="8"/>
      <c r="F151" s="8">
        <v>50</v>
      </c>
      <c r="G151" s="8"/>
      <c r="I151" s="8"/>
      <c r="J151" s="8">
        <f t="shared" si="11"/>
        <v>138</v>
      </c>
      <c r="K151" s="8">
        <f t="shared" si="12"/>
        <v>62</v>
      </c>
    </row>
    <row r="152" spans="1:12" x14ac:dyDescent="0.25">
      <c r="A152" s="13"/>
      <c r="B152" s="6">
        <v>46346</v>
      </c>
      <c r="C152" s="2">
        <v>200</v>
      </c>
      <c r="D152" s="8">
        <v>88</v>
      </c>
      <c r="F152" s="8">
        <v>50</v>
      </c>
      <c r="G152" s="8"/>
      <c r="H152" s="8"/>
      <c r="I152" s="8"/>
      <c r="J152" s="8">
        <f t="shared" si="11"/>
        <v>138</v>
      </c>
      <c r="K152" s="8">
        <f t="shared" si="12"/>
        <v>62</v>
      </c>
    </row>
    <row r="153" spans="1:12" ht="15" customHeight="1" x14ac:dyDescent="0.25">
      <c r="A153" s="13"/>
      <c r="B153" s="6">
        <v>46347</v>
      </c>
      <c r="C153" s="2">
        <v>200</v>
      </c>
      <c r="D153" s="8"/>
      <c r="E153" s="8"/>
      <c r="F153" s="8"/>
      <c r="G153" s="8"/>
      <c r="H153" s="8"/>
      <c r="I153" s="8"/>
      <c r="J153" s="8">
        <f t="shared" si="11"/>
        <v>0</v>
      </c>
      <c r="K153" s="8">
        <f t="shared" si="12"/>
        <v>200</v>
      </c>
      <c r="L153" s="14" t="s">
        <v>43</v>
      </c>
    </row>
    <row r="154" spans="1:12" x14ac:dyDescent="0.25">
      <c r="A154" s="13"/>
      <c r="B154" s="6">
        <v>46348</v>
      </c>
      <c r="C154" s="2">
        <v>200</v>
      </c>
      <c r="D154" s="8"/>
      <c r="E154" s="8"/>
      <c r="F154" s="8"/>
      <c r="G154" s="8"/>
      <c r="H154" s="8"/>
      <c r="I154" s="8"/>
      <c r="J154" s="8">
        <f t="shared" si="11"/>
        <v>0</v>
      </c>
      <c r="K154" s="8">
        <f t="shared" si="12"/>
        <v>200</v>
      </c>
      <c r="L154" s="14"/>
    </row>
    <row r="155" spans="1:12" x14ac:dyDescent="0.25">
      <c r="A155" s="13"/>
      <c r="B155" s="6">
        <v>46349</v>
      </c>
      <c r="C155" s="2">
        <v>200</v>
      </c>
      <c r="D155" s="8">
        <v>88</v>
      </c>
      <c r="E155" s="8"/>
      <c r="F155" s="8">
        <v>50</v>
      </c>
      <c r="G155" s="8"/>
      <c r="H155" s="8"/>
      <c r="I155" s="8"/>
      <c r="J155" s="8">
        <f t="shared" si="11"/>
        <v>138</v>
      </c>
      <c r="K155" s="8">
        <f t="shared" si="12"/>
        <v>62</v>
      </c>
      <c r="L155" s="14"/>
    </row>
    <row r="156" spans="1:12" x14ac:dyDescent="0.25">
      <c r="A156" s="13"/>
      <c r="B156" s="6">
        <v>46350</v>
      </c>
      <c r="C156" s="2">
        <v>200</v>
      </c>
      <c r="D156" s="8">
        <v>88</v>
      </c>
      <c r="E156" s="8"/>
      <c r="F156" s="8">
        <v>50</v>
      </c>
      <c r="G156" s="8"/>
      <c r="H156" s="8"/>
      <c r="I156" s="8"/>
      <c r="J156" s="8">
        <f t="shared" si="11"/>
        <v>138</v>
      </c>
      <c r="K156" s="8">
        <f t="shared" si="12"/>
        <v>62</v>
      </c>
      <c r="L156" s="14"/>
    </row>
    <row r="157" spans="1:12" x14ac:dyDescent="0.25">
      <c r="A157" s="13"/>
      <c r="B157" s="6">
        <v>46351</v>
      </c>
      <c r="C157" s="2">
        <v>200</v>
      </c>
      <c r="D157" s="8">
        <v>88</v>
      </c>
      <c r="E157" s="8"/>
      <c r="F157" s="8">
        <v>50</v>
      </c>
      <c r="G157" s="8"/>
      <c r="H157" s="8"/>
      <c r="I157" s="8"/>
      <c r="J157" s="8">
        <f t="shared" si="11"/>
        <v>138</v>
      </c>
      <c r="K157" s="8">
        <f t="shared" si="12"/>
        <v>62</v>
      </c>
      <c r="L157" s="14"/>
    </row>
    <row r="158" spans="1:12" x14ac:dyDescent="0.25">
      <c r="A158" s="13"/>
      <c r="B158" s="6">
        <v>46352</v>
      </c>
      <c r="C158" s="2">
        <v>200</v>
      </c>
      <c r="D158" s="8">
        <v>88</v>
      </c>
      <c r="E158" s="8"/>
      <c r="F158" s="8">
        <v>50</v>
      </c>
      <c r="G158" s="8"/>
      <c r="H158" s="8"/>
      <c r="I158" s="8"/>
      <c r="J158" s="8">
        <f t="shared" si="11"/>
        <v>138</v>
      </c>
      <c r="K158" s="8">
        <f t="shared" si="12"/>
        <v>62</v>
      </c>
      <c r="L158" s="14"/>
    </row>
    <row r="159" spans="1:12" x14ac:dyDescent="0.25">
      <c r="A159" s="13"/>
      <c r="B159" s="6">
        <v>46353</v>
      </c>
      <c r="C159" s="2">
        <v>200</v>
      </c>
      <c r="D159" s="8">
        <v>88</v>
      </c>
      <c r="F159" s="8">
        <v>50</v>
      </c>
      <c r="G159" s="8"/>
      <c r="H159" s="8"/>
      <c r="I159" s="8"/>
      <c r="J159" s="8">
        <f t="shared" si="11"/>
        <v>138</v>
      </c>
      <c r="K159" s="8">
        <f t="shared" si="12"/>
        <v>62</v>
      </c>
      <c r="L159" s="14"/>
    </row>
    <row r="160" spans="1:12" x14ac:dyDescent="0.25">
      <c r="A160" s="13"/>
      <c r="B160" s="6">
        <v>46354</v>
      </c>
      <c r="C160" s="2">
        <v>200</v>
      </c>
      <c r="G160" s="8"/>
      <c r="H160" s="8"/>
      <c r="I160" s="8"/>
      <c r="J160" s="8">
        <f t="shared" si="11"/>
        <v>0</v>
      </c>
      <c r="K160" s="8">
        <f t="shared" si="12"/>
        <v>200</v>
      </c>
      <c r="L160" s="14"/>
    </row>
    <row r="161" spans="1:12" ht="15" customHeight="1" x14ac:dyDescent="0.25">
      <c r="A161" s="13"/>
      <c r="B161" s="6">
        <v>46355</v>
      </c>
      <c r="C161" s="2">
        <v>200</v>
      </c>
      <c r="G161" s="8"/>
      <c r="H161" s="8"/>
      <c r="I161" s="8"/>
      <c r="J161" s="8">
        <f t="shared" si="11"/>
        <v>0</v>
      </c>
      <c r="K161" s="8">
        <f t="shared" si="12"/>
        <v>200</v>
      </c>
      <c r="L161" s="14"/>
    </row>
    <row r="162" spans="1:12" ht="15" customHeight="1" x14ac:dyDescent="0.25">
      <c r="A162" s="13"/>
      <c r="B162" s="6">
        <v>46356</v>
      </c>
      <c r="C162" s="2">
        <v>200</v>
      </c>
      <c r="D162" s="8">
        <v>88</v>
      </c>
      <c r="E162" s="8"/>
      <c r="F162" s="8">
        <v>50</v>
      </c>
      <c r="G162" s="8"/>
      <c r="H162" s="8"/>
      <c r="I162" s="8"/>
      <c r="J162" s="8">
        <f t="shared" si="11"/>
        <v>138</v>
      </c>
      <c r="K162" s="8">
        <f t="shared" si="12"/>
        <v>62</v>
      </c>
      <c r="L162" s="14"/>
    </row>
    <row r="163" spans="1:12" x14ac:dyDescent="0.25">
      <c r="C163" s="2">
        <f>SUM(C133:C162)</f>
        <v>6000</v>
      </c>
      <c r="D163" s="2">
        <f>SUM(D133:D162)</f>
        <v>1848</v>
      </c>
      <c r="E163" s="2">
        <f ca="1">SUM(E127:E159)</f>
        <v>0</v>
      </c>
      <c r="F163" s="2">
        <f>SUM(F133:F162)</f>
        <v>1050</v>
      </c>
      <c r="G163" s="2">
        <f>SUM(G127:G159)</f>
        <v>0</v>
      </c>
      <c r="H163" s="2">
        <f>SUM(H133:H162)</f>
        <v>0</v>
      </c>
      <c r="I163" s="2">
        <f>SUM(I127:I159)</f>
        <v>0</v>
      </c>
      <c r="J163" s="2">
        <f>SUM(J133:J162)</f>
        <v>2898</v>
      </c>
      <c r="K163" s="8">
        <f>SUM(K133:K162)</f>
        <v>3102</v>
      </c>
    </row>
    <row r="164" spans="1:12" ht="15.75" x14ac:dyDescent="0.25">
      <c r="A164" s="4" t="s">
        <v>34</v>
      </c>
      <c r="B164" s="5" t="s">
        <v>36</v>
      </c>
      <c r="C164" s="5" t="s">
        <v>37</v>
      </c>
      <c r="D164" s="5" t="s">
        <v>19</v>
      </c>
      <c r="E164" s="5" t="s">
        <v>4</v>
      </c>
      <c r="F164" s="5" t="s">
        <v>5</v>
      </c>
      <c r="G164" s="5" t="s">
        <v>16</v>
      </c>
      <c r="H164" s="5" t="s">
        <v>6</v>
      </c>
      <c r="I164" s="5" t="s">
        <v>8</v>
      </c>
      <c r="J164" s="5" t="s">
        <v>33</v>
      </c>
      <c r="K164" s="5" t="s">
        <v>22</v>
      </c>
    </row>
    <row r="165" spans="1:12" ht="15" customHeight="1" x14ac:dyDescent="0.25">
      <c r="A165" s="13" t="s">
        <v>44</v>
      </c>
      <c r="B165" s="6">
        <v>46357</v>
      </c>
      <c r="C165" s="2">
        <v>200</v>
      </c>
      <c r="D165" s="8">
        <v>88</v>
      </c>
      <c r="E165" s="8"/>
      <c r="F165" s="8">
        <v>50</v>
      </c>
      <c r="G165" s="8"/>
      <c r="H165" s="8"/>
      <c r="I165" s="8"/>
      <c r="J165" s="8">
        <f t="shared" ref="J165:J195" si="13">SUM(D165:I165)</f>
        <v>138</v>
      </c>
      <c r="K165" s="8">
        <f t="shared" ref="K165:K195" si="14">SUM(C165-J165)</f>
        <v>62</v>
      </c>
    </row>
    <row r="166" spans="1:12" x14ac:dyDescent="0.25">
      <c r="A166" s="13"/>
      <c r="B166" s="6">
        <v>46358</v>
      </c>
      <c r="C166" s="2">
        <v>200</v>
      </c>
      <c r="D166" s="8">
        <v>88</v>
      </c>
      <c r="E166" s="8"/>
      <c r="F166" s="8">
        <v>50</v>
      </c>
      <c r="G166" s="8"/>
      <c r="H166" s="8"/>
      <c r="I166" s="8"/>
      <c r="J166" s="8">
        <f t="shared" si="13"/>
        <v>138</v>
      </c>
      <c r="K166" s="8">
        <f t="shared" si="14"/>
        <v>62</v>
      </c>
    </row>
    <row r="167" spans="1:12" x14ac:dyDescent="0.25">
      <c r="A167" s="13"/>
      <c r="B167" s="6">
        <v>46359</v>
      </c>
      <c r="C167" s="2">
        <v>200</v>
      </c>
      <c r="D167" s="8">
        <v>88</v>
      </c>
      <c r="E167" s="8"/>
      <c r="F167" s="8">
        <v>50</v>
      </c>
      <c r="G167" s="8"/>
      <c r="H167" s="8"/>
      <c r="I167" s="8"/>
      <c r="J167" s="8">
        <f t="shared" si="13"/>
        <v>138</v>
      </c>
      <c r="K167" s="8">
        <f t="shared" si="14"/>
        <v>62</v>
      </c>
    </row>
    <row r="168" spans="1:12" x14ac:dyDescent="0.25">
      <c r="A168" s="13"/>
      <c r="B168" s="6">
        <v>46360</v>
      </c>
      <c r="C168" s="2">
        <v>200</v>
      </c>
      <c r="D168" s="8">
        <v>88</v>
      </c>
      <c r="E168" s="8"/>
      <c r="F168" s="8">
        <v>50</v>
      </c>
      <c r="G168" s="8"/>
      <c r="H168" s="8"/>
      <c r="I168" s="8"/>
      <c r="J168" s="8">
        <f t="shared" si="13"/>
        <v>138</v>
      </c>
      <c r="K168" s="8">
        <f t="shared" si="14"/>
        <v>62</v>
      </c>
    </row>
    <row r="169" spans="1:12" x14ac:dyDescent="0.25">
      <c r="A169" s="13"/>
      <c r="B169" s="6">
        <v>46361</v>
      </c>
      <c r="C169" s="2">
        <v>200</v>
      </c>
      <c r="D169" s="8"/>
      <c r="E169" s="8"/>
      <c r="F169" s="8"/>
      <c r="G169" s="8"/>
      <c r="H169" s="8"/>
      <c r="I169" s="8"/>
      <c r="J169" s="8">
        <f t="shared" si="13"/>
        <v>0</v>
      </c>
      <c r="K169" s="8">
        <f t="shared" si="14"/>
        <v>200</v>
      </c>
    </row>
    <row r="170" spans="1:12" x14ac:dyDescent="0.25">
      <c r="A170" s="13"/>
      <c r="B170" s="6">
        <v>46362</v>
      </c>
      <c r="C170" s="2">
        <v>200</v>
      </c>
      <c r="D170" s="8"/>
      <c r="E170" s="8"/>
      <c r="F170" s="8"/>
      <c r="G170" s="8"/>
      <c r="H170" s="8">
        <v>1000</v>
      </c>
      <c r="I170" s="8"/>
      <c r="J170" s="8">
        <f t="shared" si="13"/>
        <v>1000</v>
      </c>
      <c r="K170" s="8">
        <f t="shared" si="14"/>
        <v>-800</v>
      </c>
    </row>
    <row r="171" spans="1:12" x14ac:dyDescent="0.25">
      <c r="A171" s="13"/>
      <c r="B171" s="6">
        <v>46363</v>
      </c>
      <c r="C171" s="2">
        <v>200</v>
      </c>
      <c r="D171" s="8">
        <v>88</v>
      </c>
      <c r="E171" s="8"/>
      <c r="F171" s="8">
        <v>50</v>
      </c>
      <c r="G171" s="8"/>
      <c r="H171" s="8"/>
      <c r="I171" s="8"/>
      <c r="J171" s="8">
        <f t="shared" si="13"/>
        <v>138</v>
      </c>
      <c r="K171" s="8">
        <f t="shared" si="14"/>
        <v>62</v>
      </c>
    </row>
    <row r="172" spans="1:12" x14ac:dyDescent="0.25">
      <c r="A172" s="13"/>
      <c r="B172" s="6">
        <v>46364</v>
      </c>
      <c r="C172" s="2">
        <v>200</v>
      </c>
      <c r="D172" s="8">
        <v>88</v>
      </c>
      <c r="E172" s="8"/>
      <c r="F172" s="8">
        <v>50</v>
      </c>
      <c r="G172" s="8"/>
      <c r="H172" s="8"/>
      <c r="I172" s="8"/>
      <c r="J172" s="8">
        <f t="shared" si="13"/>
        <v>138</v>
      </c>
      <c r="K172" s="8">
        <f t="shared" si="14"/>
        <v>62</v>
      </c>
    </row>
    <row r="173" spans="1:12" x14ac:dyDescent="0.25">
      <c r="A173" s="13"/>
      <c r="B173" s="6">
        <v>46365</v>
      </c>
      <c r="C173" s="2">
        <v>200</v>
      </c>
      <c r="D173" s="8">
        <v>88</v>
      </c>
      <c r="E173" s="8"/>
      <c r="F173" s="8">
        <v>50</v>
      </c>
      <c r="G173" s="8"/>
      <c r="H173" s="8"/>
      <c r="I173" s="8"/>
      <c r="J173" s="8">
        <f t="shared" si="13"/>
        <v>138</v>
      </c>
      <c r="K173" s="8">
        <f t="shared" si="14"/>
        <v>62</v>
      </c>
    </row>
    <row r="174" spans="1:12" x14ac:dyDescent="0.25">
      <c r="A174" s="13"/>
      <c r="B174" s="6">
        <v>46366</v>
      </c>
      <c r="C174" s="2">
        <v>200</v>
      </c>
      <c r="D174" s="8">
        <v>88</v>
      </c>
      <c r="E174" s="8"/>
      <c r="F174" s="8">
        <v>50</v>
      </c>
      <c r="G174" s="8"/>
      <c r="I174" s="8"/>
      <c r="J174" s="8">
        <f t="shared" si="13"/>
        <v>138</v>
      </c>
      <c r="K174" s="8">
        <f t="shared" si="14"/>
        <v>62</v>
      </c>
    </row>
    <row r="175" spans="1:12" x14ac:dyDescent="0.25">
      <c r="A175" s="13"/>
      <c r="B175" s="6">
        <v>46367</v>
      </c>
      <c r="C175" s="2">
        <v>200</v>
      </c>
      <c r="D175" s="8">
        <v>88</v>
      </c>
      <c r="F175" s="8">
        <v>50</v>
      </c>
      <c r="G175" s="8"/>
      <c r="H175" s="8"/>
      <c r="I175" s="8"/>
      <c r="J175" s="8">
        <f t="shared" si="13"/>
        <v>138</v>
      </c>
      <c r="K175" s="8">
        <f t="shared" si="14"/>
        <v>62</v>
      </c>
    </row>
    <row r="176" spans="1:12" x14ac:dyDescent="0.25">
      <c r="A176" s="13"/>
      <c r="B176" s="6">
        <v>46368</v>
      </c>
      <c r="C176" s="2">
        <v>200</v>
      </c>
      <c r="D176" s="8"/>
      <c r="E176" s="8"/>
      <c r="F176" s="8"/>
      <c r="G176" s="8"/>
      <c r="I176" s="8"/>
      <c r="J176" s="8">
        <f t="shared" si="13"/>
        <v>0</v>
      </c>
      <c r="K176" s="8">
        <f t="shared" si="14"/>
        <v>200</v>
      </c>
    </row>
    <row r="177" spans="1:12" x14ac:dyDescent="0.25">
      <c r="A177" s="13"/>
      <c r="B177" s="6">
        <v>46369</v>
      </c>
      <c r="C177" s="2">
        <v>200</v>
      </c>
      <c r="D177" s="8"/>
      <c r="E177" s="8"/>
      <c r="F177" s="8"/>
      <c r="G177" s="8"/>
      <c r="H177" s="8"/>
      <c r="I177" s="8"/>
      <c r="J177" s="8">
        <f t="shared" si="13"/>
        <v>0</v>
      </c>
      <c r="K177" s="8">
        <f t="shared" si="14"/>
        <v>200</v>
      </c>
    </row>
    <row r="178" spans="1:12" ht="15" customHeight="1" x14ac:dyDescent="0.25">
      <c r="A178" s="13"/>
      <c r="B178" s="6">
        <v>46370</v>
      </c>
      <c r="C178" s="2">
        <v>200</v>
      </c>
      <c r="D178" s="8">
        <v>88</v>
      </c>
      <c r="E178" s="8"/>
      <c r="F178" s="8">
        <v>50</v>
      </c>
      <c r="G178" s="8"/>
      <c r="H178" s="8"/>
      <c r="I178" s="8"/>
      <c r="J178" s="8">
        <f t="shared" si="13"/>
        <v>138</v>
      </c>
      <c r="K178" s="8">
        <f t="shared" si="14"/>
        <v>62</v>
      </c>
    </row>
    <row r="179" spans="1:12" x14ac:dyDescent="0.25">
      <c r="A179" s="13"/>
      <c r="B179" s="6">
        <v>46371</v>
      </c>
      <c r="C179" s="2">
        <v>200</v>
      </c>
      <c r="D179" s="8">
        <v>88</v>
      </c>
      <c r="E179" s="8"/>
      <c r="F179" s="8">
        <v>50</v>
      </c>
      <c r="G179" s="8"/>
      <c r="I179" s="8"/>
      <c r="J179" s="8">
        <f t="shared" si="13"/>
        <v>138</v>
      </c>
      <c r="K179" s="8">
        <f t="shared" si="14"/>
        <v>62</v>
      </c>
    </row>
    <row r="180" spans="1:12" x14ac:dyDescent="0.25">
      <c r="A180" s="13"/>
      <c r="B180" s="6">
        <v>46372</v>
      </c>
      <c r="C180" s="2">
        <v>200</v>
      </c>
      <c r="D180" s="8">
        <v>88</v>
      </c>
      <c r="E180" s="8"/>
      <c r="F180" s="8">
        <v>50</v>
      </c>
      <c r="G180" s="8"/>
      <c r="H180" s="8"/>
      <c r="I180" s="8"/>
      <c r="J180" s="8">
        <f t="shared" si="13"/>
        <v>138</v>
      </c>
      <c r="K180" s="8">
        <f t="shared" si="14"/>
        <v>62</v>
      </c>
    </row>
    <row r="181" spans="1:12" x14ac:dyDescent="0.25">
      <c r="A181" s="13"/>
      <c r="B181" s="6">
        <v>46373</v>
      </c>
      <c r="C181" s="2">
        <v>200</v>
      </c>
      <c r="D181" s="8">
        <v>88</v>
      </c>
      <c r="E181" s="8"/>
      <c r="F181" s="8">
        <v>50</v>
      </c>
      <c r="G181" s="8"/>
      <c r="H181" s="8"/>
      <c r="I181" s="8"/>
      <c r="J181" s="8">
        <f t="shared" si="13"/>
        <v>138</v>
      </c>
      <c r="K181" s="8">
        <f t="shared" si="14"/>
        <v>62</v>
      </c>
    </row>
    <row r="182" spans="1:12" ht="15" customHeight="1" x14ac:dyDescent="0.25">
      <c r="A182" s="13"/>
      <c r="B182" s="6">
        <v>46374</v>
      </c>
      <c r="C182" s="2">
        <v>200</v>
      </c>
      <c r="D182" s="8">
        <v>88</v>
      </c>
      <c r="F182" s="8">
        <v>50</v>
      </c>
      <c r="G182" s="8"/>
      <c r="H182" s="8"/>
      <c r="I182" s="8"/>
      <c r="J182" s="8">
        <f t="shared" si="13"/>
        <v>138</v>
      </c>
      <c r="K182" s="8">
        <f t="shared" si="14"/>
        <v>62</v>
      </c>
    </row>
    <row r="183" spans="1:12" x14ac:dyDescent="0.25">
      <c r="A183" s="13"/>
      <c r="B183" s="6">
        <v>46375</v>
      </c>
      <c r="C183" s="2">
        <v>200</v>
      </c>
      <c r="D183" s="8"/>
      <c r="E183" s="8"/>
      <c r="F183" s="8"/>
      <c r="G183" s="8"/>
      <c r="I183" s="8"/>
      <c r="J183" s="8">
        <f t="shared" si="13"/>
        <v>0</v>
      </c>
      <c r="K183" s="8">
        <f t="shared" si="14"/>
        <v>200</v>
      </c>
      <c r="L183" s="10"/>
    </row>
    <row r="184" spans="1:12" x14ac:dyDescent="0.25">
      <c r="A184" s="13"/>
      <c r="B184" s="6">
        <v>46376</v>
      </c>
      <c r="C184" s="2">
        <v>200</v>
      </c>
      <c r="D184" s="8"/>
      <c r="E184" s="8"/>
      <c r="F184" s="8"/>
      <c r="G184" s="8"/>
      <c r="H184" s="8"/>
      <c r="I184" s="8"/>
      <c r="J184" s="8">
        <f t="shared" si="13"/>
        <v>0</v>
      </c>
      <c r="K184" s="8">
        <f t="shared" si="14"/>
        <v>200</v>
      </c>
      <c r="L184" s="10"/>
    </row>
    <row r="185" spans="1:12" x14ac:dyDescent="0.25">
      <c r="A185" s="13"/>
      <c r="B185" s="6">
        <v>46377</v>
      </c>
      <c r="C185" s="2">
        <v>200</v>
      </c>
      <c r="D185" s="8">
        <v>88</v>
      </c>
      <c r="E185" s="8"/>
      <c r="F185" s="8">
        <v>50</v>
      </c>
      <c r="G185" s="8"/>
      <c r="H185" s="8"/>
      <c r="I185" s="8"/>
      <c r="J185" s="8">
        <f t="shared" si="13"/>
        <v>138</v>
      </c>
      <c r="K185" s="8">
        <f t="shared" si="14"/>
        <v>62</v>
      </c>
      <c r="L185" s="10"/>
    </row>
    <row r="186" spans="1:12" x14ac:dyDescent="0.25">
      <c r="A186" s="13"/>
      <c r="B186" s="6">
        <v>46378</v>
      </c>
      <c r="C186" s="2">
        <v>200</v>
      </c>
      <c r="D186" s="8">
        <v>88</v>
      </c>
      <c r="E186" s="8"/>
      <c r="F186" s="8">
        <v>50</v>
      </c>
      <c r="G186" s="8"/>
      <c r="H186" s="8"/>
      <c r="I186" s="8"/>
      <c r="J186" s="8">
        <f t="shared" si="13"/>
        <v>138</v>
      </c>
      <c r="K186" s="8">
        <f t="shared" si="14"/>
        <v>62</v>
      </c>
      <c r="L186" s="10"/>
    </row>
    <row r="187" spans="1:12" x14ac:dyDescent="0.25">
      <c r="A187" s="13"/>
      <c r="B187" s="6">
        <v>46379</v>
      </c>
      <c r="C187" s="2">
        <v>200</v>
      </c>
      <c r="D187" s="8">
        <v>88</v>
      </c>
      <c r="E187" s="8"/>
      <c r="F187" s="8">
        <v>50</v>
      </c>
      <c r="G187" s="8"/>
      <c r="H187" s="8"/>
      <c r="I187" s="8"/>
      <c r="J187" s="8">
        <f t="shared" si="13"/>
        <v>138</v>
      </c>
      <c r="K187" s="8">
        <f t="shared" si="14"/>
        <v>62</v>
      </c>
      <c r="L187" s="10"/>
    </row>
    <row r="188" spans="1:12" x14ac:dyDescent="0.25">
      <c r="A188" s="13"/>
      <c r="B188" s="6">
        <v>46380</v>
      </c>
      <c r="C188" s="2">
        <v>200</v>
      </c>
      <c r="D188" s="8">
        <v>88</v>
      </c>
      <c r="E188" s="8"/>
      <c r="F188" s="8">
        <v>50</v>
      </c>
      <c r="G188" s="8"/>
      <c r="H188" s="8"/>
      <c r="I188" s="8"/>
      <c r="J188" s="8">
        <f t="shared" si="13"/>
        <v>138</v>
      </c>
      <c r="K188" s="8">
        <f t="shared" si="14"/>
        <v>62</v>
      </c>
      <c r="L188" s="10"/>
    </row>
    <row r="189" spans="1:12" x14ac:dyDescent="0.25">
      <c r="A189" s="13"/>
      <c r="B189" s="6">
        <v>46381</v>
      </c>
      <c r="C189" s="2">
        <v>200</v>
      </c>
      <c r="D189" s="8">
        <v>88</v>
      </c>
      <c r="F189" s="8">
        <v>50</v>
      </c>
      <c r="G189" s="8"/>
      <c r="H189" s="8"/>
      <c r="I189" s="8"/>
      <c r="J189" s="8">
        <f t="shared" si="13"/>
        <v>138</v>
      </c>
      <c r="K189" s="8">
        <f t="shared" si="14"/>
        <v>62</v>
      </c>
      <c r="L189" s="10"/>
    </row>
    <row r="190" spans="1:12" x14ac:dyDescent="0.25">
      <c r="A190" s="13"/>
      <c r="B190" s="6">
        <v>46382</v>
      </c>
      <c r="C190" s="2">
        <v>200</v>
      </c>
      <c r="D190" s="8"/>
      <c r="E190" s="8"/>
      <c r="F190" s="8"/>
      <c r="G190" s="8"/>
      <c r="H190" s="8"/>
      <c r="I190" s="8"/>
      <c r="J190" s="8">
        <f t="shared" si="13"/>
        <v>0</v>
      </c>
      <c r="K190" s="8">
        <f t="shared" si="14"/>
        <v>200</v>
      </c>
      <c r="L190" s="10"/>
    </row>
    <row r="191" spans="1:12" x14ac:dyDescent="0.25">
      <c r="A191" s="13"/>
      <c r="B191" s="6">
        <v>46383</v>
      </c>
      <c r="C191" s="2">
        <v>200</v>
      </c>
      <c r="D191" s="8"/>
      <c r="E191" s="8"/>
      <c r="F191" s="8"/>
      <c r="G191" s="8"/>
      <c r="H191" s="8"/>
      <c r="I191" s="8"/>
      <c r="J191" s="8">
        <f t="shared" si="13"/>
        <v>0</v>
      </c>
      <c r="K191" s="8">
        <f t="shared" si="14"/>
        <v>200</v>
      </c>
      <c r="L191" s="10"/>
    </row>
    <row r="192" spans="1:12" ht="15" customHeight="1" x14ac:dyDescent="0.25">
      <c r="A192" s="13"/>
      <c r="B192" s="6">
        <v>46384</v>
      </c>
      <c r="C192" s="2">
        <v>200</v>
      </c>
      <c r="D192" s="8"/>
      <c r="E192" s="8"/>
      <c r="F192" s="8"/>
      <c r="G192" s="8"/>
      <c r="H192" s="8"/>
      <c r="I192" s="8"/>
      <c r="J192" s="8">
        <f t="shared" si="13"/>
        <v>0</v>
      </c>
      <c r="K192" s="8">
        <f t="shared" si="14"/>
        <v>200</v>
      </c>
    </row>
    <row r="193" spans="1:11" x14ac:dyDescent="0.25">
      <c r="A193" s="13"/>
      <c r="B193" s="6">
        <v>46385</v>
      </c>
      <c r="C193" s="2">
        <v>200</v>
      </c>
      <c r="D193" s="8"/>
      <c r="E193" s="8"/>
      <c r="F193" s="8"/>
      <c r="G193" s="8"/>
      <c r="H193" s="8"/>
      <c r="I193" s="8"/>
      <c r="J193" s="8">
        <f t="shared" si="13"/>
        <v>0</v>
      </c>
      <c r="K193" s="8">
        <f t="shared" si="14"/>
        <v>200</v>
      </c>
    </row>
    <row r="194" spans="1:11" ht="15" customHeight="1" x14ac:dyDescent="0.25">
      <c r="A194" s="13"/>
      <c r="B194" s="6">
        <v>46386</v>
      </c>
      <c r="C194" s="2">
        <v>200</v>
      </c>
      <c r="D194" s="8"/>
      <c r="E194" s="8"/>
      <c r="F194" s="8"/>
      <c r="G194" s="8"/>
      <c r="H194" s="8"/>
      <c r="I194" s="8"/>
      <c r="J194" s="8">
        <f t="shared" si="13"/>
        <v>0</v>
      </c>
      <c r="K194" s="8">
        <f t="shared" si="14"/>
        <v>200</v>
      </c>
    </row>
    <row r="195" spans="1:11" x14ac:dyDescent="0.25">
      <c r="A195" s="13"/>
      <c r="B195" s="6">
        <v>46387</v>
      </c>
      <c r="C195" s="2">
        <v>200</v>
      </c>
      <c r="D195" s="8"/>
      <c r="E195" s="8"/>
      <c r="F195" s="8"/>
      <c r="G195" s="8"/>
      <c r="H195" s="8"/>
      <c r="I195" s="8"/>
      <c r="J195" s="8">
        <f t="shared" si="13"/>
        <v>0</v>
      </c>
      <c r="K195" s="8">
        <f t="shared" si="14"/>
        <v>200</v>
      </c>
    </row>
    <row r="196" spans="1:11" x14ac:dyDescent="0.25">
      <c r="C196" s="2">
        <f>SUM(C165:C195)</f>
        <v>6200</v>
      </c>
      <c r="D196" s="2">
        <f>SUM(D166:D194)</f>
        <v>1584</v>
      </c>
      <c r="E196" s="2">
        <f ca="1">SUM(E154:E196)</f>
        <v>0</v>
      </c>
      <c r="F196" s="2">
        <f>SUM(F166:F194)</f>
        <v>900</v>
      </c>
      <c r="G196" s="2">
        <f ca="1">SUM(G154:G196)</f>
        <v>0</v>
      </c>
      <c r="H196" s="2">
        <f>SUM(H166:H194)</f>
        <v>1000</v>
      </c>
      <c r="I196" s="2">
        <f ca="1">SUM(I154:I196)</f>
        <v>0</v>
      </c>
      <c r="J196" s="2">
        <f>SUM(J165:J195)</f>
        <v>3622</v>
      </c>
      <c r="K196" s="8">
        <f>SUM(K165:K195)</f>
        <v>2578</v>
      </c>
    </row>
    <row r="197" spans="1:11" ht="15.75" x14ac:dyDescent="0.25">
      <c r="A197" s="4" t="s">
        <v>34</v>
      </c>
      <c r="B197" s="5" t="s">
        <v>36</v>
      </c>
      <c r="C197" s="5" t="s">
        <v>37</v>
      </c>
      <c r="D197" s="5" t="s">
        <v>19</v>
      </c>
      <c r="E197" s="5" t="s">
        <v>4</v>
      </c>
      <c r="F197" s="5" t="s">
        <v>5</v>
      </c>
      <c r="G197" s="5" t="s">
        <v>16</v>
      </c>
      <c r="H197" s="5" t="s">
        <v>6</v>
      </c>
      <c r="I197" s="5" t="s">
        <v>8</v>
      </c>
      <c r="J197" s="5" t="s">
        <v>33</v>
      </c>
      <c r="K197" s="5" t="s">
        <v>22</v>
      </c>
    </row>
    <row r="198" spans="1:11" ht="15" customHeight="1" x14ac:dyDescent="0.25">
      <c r="A198" s="13" t="s">
        <v>45</v>
      </c>
      <c r="B198" s="6">
        <v>46388</v>
      </c>
      <c r="C198" s="2">
        <v>200</v>
      </c>
      <c r="D198" s="8"/>
      <c r="E198" s="8"/>
      <c r="F198" s="8"/>
      <c r="G198" s="8"/>
      <c r="H198" s="8"/>
      <c r="I198" s="8"/>
      <c r="J198" s="8">
        <f t="shared" ref="J198:J228" si="15">SUM(D198:I198)</f>
        <v>0</v>
      </c>
      <c r="K198" s="8">
        <f t="shared" ref="K198:K228" si="16">SUM(C198-J198)</f>
        <v>200</v>
      </c>
    </row>
    <row r="199" spans="1:11" x14ac:dyDescent="0.25">
      <c r="A199" s="13"/>
      <c r="B199" s="6">
        <v>46389</v>
      </c>
      <c r="C199" s="2">
        <v>200</v>
      </c>
      <c r="D199" s="8"/>
      <c r="E199" s="8"/>
      <c r="F199" s="8"/>
      <c r="G199" s="8"/>
      <c r="H199" s="8"/>
      <c r="I199" s="8"/>
      <c r="J199" s="8">
        <f t="shared" si="15"/>
        <v>0</v>
      </c>
      <c r="K199" s="8">
        <f t="shared" si="16"/>
        <v>200</v>
      </c>
    </row>
    <row r="200" spans="1:11" x14ac:dyDescent="0.25">
      <c r="A200" s="13"/>
      <c r="B200" s="6">
        <v>46390</v>
      </c>
      <c r="C200" s="2">
        <v>200</v>
      </c>
      <c r="D200" s="8"/>
      <c r="E200" s="8"/>
      <c r="F200" s="8"/>
      <c r="G200" s="8"/>
      <c r="H200" s="8"/>
      <c r="I200" s="8"/>
      <c r="J200" s="8">
        <f t="shared" si="15"/>
        <v>0</v>
      </c>
      <c r="K200" s="8">
        <f t="shared" si="16"/>
        <v>200</v>
      </c>
    </row>
    <row r="201" spans="1:11" ht="15" customHeight="1" x14ac:dyDescent="0.25">
      <c r="A201" s="13"/>
      <c r="B201" s="6">
        <v>46391</v>
      </c>
      <c r="C201" s="2">
        <v>200</v>
      </c>
      <c r="D201" s="8">
        <v>88</v>
      </c>
      <c r="E201" s="8"/>
      <c r="F201" s="8">
        <v>50</v>
      </c>
      <c r="G201" s="8"/>
      <c r="H201" s="8"/>
      <c r="I201" s="8"/>
      <c r="J201" s="8">
        <f t="shared" si="15"/>
        <v>138</v>
      </c>
      <c r="K201" s="8">
        <f t="shared" si="16"/>
        <v>62</v>
      </c>
    </row>
    <row r="202" spans="1:11" ht="15" customHeight="1" x14ac:dyDescent="0.25">
      <c r="A202" s="13"/>
      <c r="B202" s="6">
        <v>46392</v>
      </c>
      <c r="C202" s="2">
        <v>200</v>
      </c>
      <c r="D202" s="8">
        <v>88</v>
      </c>
      <c r="E202" s="8"/>
      <c r="F202" s="8">
        <v>50</v>
      </c>
      <c r="G202" s="8"/>
      <c r="H202" s="8"/>
      <c r="I202" s="8"/>
      <c r="J202" s="8">
        <f t="shared" si="15"/>
        <v>138</v>
      </c>
      <c r="K202" s="8">
        <f t="shared" si="16"/>
        <v>62</v>
      </c>
    </row>
    <row r="203" spans="1:11" x14ac:dyDescent="0.25">
      <c r="A203" s="13"/>
      <c r="B203" s="6">
        <v>46393</v>
      </c>
      <c r="C203" s="2">
        <v>200</v>
      </c>
      <c r="D203" s="8">
        <v>88</v>
      </c>
      <c r="E203" s="8"/>
      <c r="F203" s="8">
        <v>50</v>
      </c>
      <c r="G203" s="8"/>
      <c r="H203" s="8"/>
      <c r="I203" s="8"/>
      <c r="J203" s="8">
        <f t="shared" si="15"/>
        <v>138</v>
      </c>
      <c r="K203" s="8">
        <f t="shared" si="16"/>
        <v>62</v>
      </c>
    </row>
    <row r="204" spans="1:11" x14ac:dyDescent="0.25">
      <c r="A204" s="13"/>
      <c r="B204" s="6">
        <v>46394</v>
      </c>
      <c r="C204" s="2">
        <v>200</v>
      </c>
      <c r="D204" s="8">
        <v>88</v>
      </c>
      <c r="E204" s="8"/>
      <c r="F204" s="8">
        <v>50</v>
      </c>
      <c r="G204" s="8"/>
      <c r="H204" s="8"/>
      <c r="I204" s="8"/>
      <c r="J204" s="8">
        <f t="shared" si="15"/>
        <v>138</v>
      </c>
      <c r="K204" s="8">
        <f t="shared" si="16"/>
        <v>62</v>
      </c>
    </row>
    <row r="205" spans="1:11" x14ac:dyDescent="0.25">
      <c r="A205" s="13"/>
      <c r="B205" s="6">
        <v>46395</v>
      </c>
      <c r="C205" s="2">
        <v>200</v>
      </c>
      <c r="D205" s="8">
        <v>88</v>
      </c>
      <c r="E205" s="8"/>
      <c r="F205" s="8">
        <v>50</v>
      </c>
      <c r="G205" s="8"/>
      <c r="H205" s="8"/>
      <c r="I205" s="8"/>
      <c r="J205" s="8">
        <f t="shared" si="15"/>
        <v>138</v>
      </c>
      <c r="K205" s="8">
        <f t="shared" si="16"/>
        <v>62</v>
      </c>
    </row>
    <row r="206" spans="1:11" x14ac:dyDescent="0.25">
      <c r="A206" s="13"/>
      <c r="B206" s="6">
        <v>46396</v>
      </c>
      <c r="C206" s="2">
        <v>200</v>
      </c>
      <c r="D206" s="8"/>
      <c r="E206" s="8"/>
      <c r="F206" s="8"/>
      <c r="G206" s="8"/>
      <c r="H206" s="8"/>
      <c r="I206" s="8"/>
      <c r="J206" s="8">
        <f t="shared" si="15"/>
        <v>0</v>
      </c>
      <c r="K206" s="8">
        <f t="shared" si="16"/>
        <v>200</v>
      </c>
    </row>
    <row r="207" spans="1:11" x14ac:dyDescent="0.25">
      <c r="A207" s="13"/>
      <c r="B207" s="6">
        <v>46397</v>
      </c>
      <c r="C207" s="2">
        <v>200</v>
      </c>
      <c r="D207" s="8"/>
      <c r="E207" s="8"/>
      <c r="F207" s="8"/>
      <c r="G207" s="8"/>
      <c r="I207" s="8"/>
      <c r="J207" s="8">
        <f t="shared" si="15"/>
        <v>0</v>
      </c>
      <c r="K207" s="8">
        <f t="shared" si="16"/>
        <v>200</v>
      </c>
    </row>
    <row r="208" spans="1:11" x14ac:dyDescent="0.25">
      <c r="A208" s="13"/>
      <c r="B208" s="6">
        <v>46398</v>
      </c>
      <c r="C208" s="2">
        <v>200</v>
      </c>
      <c r="D208" s="8">
        <v>88</v>
      </c>
      <c r="E208" s="8"/>
      <c r="F208" s="8">
        <v>50</v>
      </c>
      <c r="G208" s="8"/>
      <c r="H208" s="8"/>
      <c r="I208" s="8"/>
      <c r="J208" s="8">
        <f t="shared" si="15"/>
        <v>138</v>
      </c>
      <c r="K208" s="8">
        <f t="shared" si="16"/>
        <v>62</v>
      </c>
    </row>
    <row r="209" spans="1:11" x14ac:dyDescent="0.25">
      <c r="A209" s="13"/>
      <c r="B209" s="6">
        <v>46399</v>
      </c>
      <c r="C209" s="2">
        <v>200</v>
      </c>
      <c r="D209" s="8">
        <v>88</v>
      </c>
      <c r="E209" s="8"/>
      <c r="F209" s="8">
        <v>50</v>
      </c>
      <c r="G209" s="8"/>
      <c r="I209" s="8"/>
      <c r="J209" s="8">
        <f t="shared" si="15"/>
        <v>138</v>
      </c>
      <c r="K209" s="8">
        <f t="shared" si="16"/>
        <v>62</v>
      </c>
    </row>
    <row r="210" spans="1:11" x14ac:dyDescent="0.25">
      <c r="A210" s="13"/>
      <c r="B210" s="6">
        <v>46400</v>
      </c>
      <c r="C210" s="2">
        <v>200</v>
      </c>
      <c r="D210" s="8">
        <v>88</v>
      </c>
      <c r="E210" s="8"/>
      <c r="F210" s="8">
        <v>50</v>
      </c>
      <c r="G210" s="8"/>
      <c r="I210" s="8"/>
      <c r="J210" s="8">
        <f t="shared" si="15"/>
        <v>138</v>
      </c>
      <c r="K210" s="8">
        <f t="shared" si="16"/>
        <v>62</v>
      </c>
    </row>
    <row r="211" spans="1:11" x14ac:dyDescent="0.25">
      <c r="A211" s="13"/>
      <c r="B211" s="6">
        <v>46401</v>
      </c>
      <c r="C211" s="2">
        <v>200</v>
      </c>
      <c r="D211" s="8">
        <v>88</v>
      </c>
      <c r="E211" s="8"/>
      <c r="F211" s="8">
        <v>50</v>
      </c>
      <c r="G211" s="8"/>
      <c r="H211" s="8"/>
      <c r="I211" s="8"/>
      <c r="J211" s="8">
        <f t="shared" si="15"/>
        <v>138</v>
      </c>
      <c r="K211" s="8">
        <f t="shared" si="16"/>
        <v>62</v>
      </c>
    </row>
    <row r="212" spans="1:11" x14ac:dyDescent="0.25">
      <c r="A212" s="13"/>
      <c r="B212" s="6">
        <v>46402</v>
      </c>
      <c r="C212" s="2">
        <v>200</v>
      </c>
      <c r="D212" s="8">
        <v>88</v>
      </c>
      <c r="E212" s="8"/>
      <c r="F212" s="8">
        <v>50</v>
      </c>
      <c r="G212" s="8"/>
      <c r="I212" s="8"/>
      <c r="J212" s="8">
        <f t="shared" si="15"/>
        <v>138</v>
      </c>
      <c r="K212" s="8">
        <f t="shared" si="16"/>
        <v>62</v>
      </c>
    </row>
    <row r="213" spans="1:11" x14ac:dyDescent="0.25">
      <c r="A213" s="13"/>
      <c r="B213" s="6">
        <v>46403</v>
      </c>
      <c r="C213" s="2">
        <v>200</v>
      </c>
      <c r="D213" s="8"/>
      <c r="E213" s="8"/>
      <c r="F213" s="8"/>
      <c r="G213" s="8"/>
      <c r="H213" s="8"/>
      <c r="I213" s="8"/>
      <c r="J213" s="8">
        <f t="shared" si="15"/>
        <v>0</v>
      </c>
      <c r="K213" s="8">
        <f t="shared" si="16"/>
        <v>200</v>
      </c>
    </row>
    <row r="214" spans="1:11" x14ac:dyDescent="0.25">
      <c r="A214" s="13"/>
      <c r="B214" s="6">
        <v>46404</v>
      </c>
      <c r="C214" s="2">
        <v>200</v>
      </c>
      <c r="D214" s="8"/>
      <c r="E214" s="8"/>
      <c r="F214" s="8"/>
      <c r="G214" s="8"/>
      <c r="I214" s="8"/>
      <c r="J214" s="8">
        <f t="shared" si="15"/>
        <v>0</v>
      </c>
      <c r="K214" s="8">
        <f t="shared" si="16"/>
        <v>200</v>
      </c>
    </row>
    <row r="215" spans="1:11" x14ac:dyDescent="0.25">
      <c r="A215" s="13"/>
      <c r="B215" s="6">
        <v>46405</v>
      </c>
      <c r="C215" s="2">
        <v>200</v>
      </c>
      <c r="D215" s="8">
        <v>88</v>
      </c>
      <c r="E215" s="8"/>
      <c r="F215" s="8">
        <v>50</v>
      </c>
      <c r="G215" s="8"/>
      <c r="H215" s="8"/>
      <c r="I215" s="8"/>
      <c r="J215" s="8">
        <f t="shared" si="15"/>
        <v>138</v>
      </c>
      <c r="K215" s="8">
        <f t="shared" si="16"/>
        <v>62</v>
      </c>
    </row>
    <row r="216" spans="1:11" x14ac:dyDescent="0.25">
      <c r="A216" s="13"/>
      <c r="B216" s="6">
        <v>46406</v>
      </c>
      <c r="C216" s="2">
        <v>200</v>
      </c>
      <c r="D216" s="8">
        <v>88</v>
      </c>
      <c r="E216" s="8"/>
      <c r="F216" s="8">
        <v>50</v>
      </c>
      <c r="G216" s="8"/>
      <c r="I216" s="8"/>
      <c r="J216" s="8">
        <f t="shared" si="15"/>
        <v>138</v>
      </c>
      <c r="K216" s="8">
        <f t="shared" si="16"/>
        <v>62</v>
      </c>
    </row>
    <row r="217" spans="1:11" x14ac:dyDescent="0.25">
      <c r="A217" s="13"/>
      <c r="B217" s="6">
        <v>46407</v>
      </c>
      <c r="C217" s="2">
        <v>200</v>
      </c>
      <c r="D217" s="8">
        <v>88</v>
      </c>
      <c r="E217" s="8"/>
      <c r="F217" s="8">
        <v>50</v>
      </c>
      <c r="G217" s="8"/>
      <c r="H217" s="8"/>
      <c r="I217" s="8"/>
      <c r="J217" s="8">
        <f t="shared" si="15"/>
        <v>138</v>
      </c>
      <c r="K217" s="8">
        <f t="shared" si="16"/>
        <v>62</v>
      </c>
    </row>
    <row r="218" spans="1:11" x14ac:dyDescent="0.25">
      <c r="A218" s="13"/>
      <c r="B218" s="6">
        <v>46408</v>
      </c>
      <c r="C218" s="2">
        <v>200</v>
      </c>
      <c r="D218" s="8">
        <v>88</v>
      </c>
      <c r="E218" s="8"/>
      <c r="F218" s="8">
        <v>50</v>
      </c>
      <c r="G218" s="8"/>
      <c r="H218" s="8"/>
      <c r="I218" s="8"/>
      <c r="J218" s="8">
        <f t="shared" si="15"/>
        <v>138</v>
      </c>
      <c r="K218" s="8">
        <f t="shared" si="16"/>
        <v>62</v>
      </c>
    </row>
    <row r="219" spans="1:11" x14ac:dyDescent="0.25">
      <c r="A219" s="13"/>
      <c r="B219" s="6">
        <v>46409</v>
      </c>
      <c r="C219" s="2">
        <v>200</v>
      </c>
      <c r="D219" s="8">
        <v>88</v>
      </c>
      <c r="E219" s="8"/>
      <c r="F219" s="8">
        <v>50</v>
      </c>
      <c r="G219" s="8"/>
      <c r="H219" s="8"/>
      <c r="I219" s="8"/>
      <c r="J219" s="8">
        <f t="shared" si="15"/>
        <v>138</v>
      </c>
      <c r="K219" s="8">
        <f t="shared" si="16"/>
        <v>62</v>
      </c>
    </row>
    <row r="220" spans="1:11" x14ac:dyDescent="0.25">
      <c r="A220" s="13"/>
      <c r="B220" s="6">
        <v>46410</v>
      </c>
      <c r="C220" s="2">
        <v>200</v>
      </c>
      <c r="D220" s="8"/>
      <c r="E220" s="8"/>
      <c r="F220" s="8"/>
      <c r="G220" s="8"/>
      <c r="H220" s="8"/>
      <c r="I220" s="8"/>
      <c r="J220" s="8">
        <f t="shared" si="15"/>
        <v>0</v>
      </c>
      <c r="K220" s="8">
        <f t="shared" si="16"/>
        <v>200</v>
      </c>
    </row>
    <row r="221" spans="1:11" x14ac:dyDescent="0.25">
      <c r="A221" s="13"/>
      <c r="B221" s="6">
        <v>46411</v>
      </c>
      <c r="C221" s="2">
        <v>200</v>
      </c>
      <c r="D221" s="8"/>
      <c r="E221" s="8"/>
      <c r="F221" s="8"/>
      <c r="G221" s="8"/>
      <c r="H221" s="8"/>
      <c r="I221" s="8"/>
      <c r="J221" s="8">
        <f t="shared" si="15"/>
        <v>0</v>
      </c>
      <c r="K221" s="8">
        <f t="shared" si="16"/>
        <v>200</v>
      </c>
    </row>
    <row r="222" spans="1:11" x14ac:dyDescent="0.25">
      <c r="A222" s="13"/>
      <c r="B222" s="6">
        <v>46412</v>
      </c>
      <c r="C222" s="2">
        <v>200</v>
      </c>
      <c r="D222" s="8">
        <v>88</v>
      </c>
      <c r="E222" s="8"/>
      <c r="F222" s="8">
        <v>50</v>
      </c>
      <c r="G222" s="8"/>
      <c r="H222" s="8"/>
      <c r="I222" s="8"/>
      <c r="J222" s="8">
        <f t="shared" si="15"/>
        <v>138</v>
      </c>
      <c r="K222" s="8">
        <f t="shared" si="16"/>
        <v>62</v>
      </c>
    </row>
    <row r="223" spans="1:11" x14ac:dyDescent="0.25">
      <c r="A223" s="13"/>
      <c r="B223" s="6">
        <v>46413</v>
      </c>
      <c r="C223" s="2">
        <v>200</v>
      </c>
      <c r="D223" s="8"/>
      <c r="E223" s="8"/>
      <c r="F223" s="8"/>
      <c r="G223" s="8"/>
      <c r="H223" s="8"/>
      <c r="I223" s="8"/>
      <c r="J223" s="8">
        <f t="shared" si="15"/>
        <v>0</v>
      </c>
      <c r="K223" s="8">
        <f t="shared" si="16"/>
        <v>200</v>
      </c>
    </row>
    <row r="224" spans="1:11" x14ac:dyDescent="0.25">
      <c r="A224" s="13"/>
      <c r="B224" s="6">
        <v>46414</v>
      </c>
      <c r="C224" s="2">
        <v>200</v>
      </c>
      <c r="D224" s="8">
        <v>88</v>
      </c>
      <c r="E224" s="8"/>
      <c r="F224" s="8">
        <v>50</v>
      </c>
      <c r="G224" s="8"/>
      <c r="H224" s="8"/>
      <c r="I224" s="8"/>
      <c r="J224" s="8">
        <f t="shared" si="15"/>
        <v>138</v>
      </c>
      <c r="K224" s="8">
        <f t="shared" si="16"/>
        <v>62</v>
      </c>
    </row>
    <row r="225" spans="1:11" x14ac:dyDescent="0.25">
      <c r="A225" s="13"/>
      <c r="B225" s="6">
        <v>46415</v>
      </c>
      <c r="C225" s="2">
        <v>200</v>
      </c>
      <c r="D225" s="8">
        <v>88</v>
      </c>
      <c r="E225" s="8"/>
      <c r="F225" s="8">
        <v>50</v>
      </c>
      <c r="G225" s="8"/>
      <c r="H225" s="8"/>
      <c r="I225" s="8"/>
      <c r="J225" s="8">
        <f t="shared" si="15"/>
        <v>138</v>
      </c>
      <c r="K225" s="8">
        <f t="shared" si="16"/>
        <v>62</v>
      </c>
    </row>
    <row r="226" spans="1:11" x14ac:dyDescent="0.25">
      <c r="A226" s="13"/>
      <c r="B226" s="6">
        <v>46416</v>
      </c>
      <c r="C226" s="2">
        <v>200</v>
      </c>
      <c r="D226" s="8">
        <v>88</v>
      </c>
      <c r="E226" s="8"/>
      <c r="F226" s="8">
        <v>50</v>
      </c>
      <c r="G226" s="8"/>
      <c r="H226" s="8"/>
      <c r="I226" s="8"/>
      <c r="J226" s="8">
        <f t="shared" si="15"/>
        <v>138</v>
      </c>
      <c r="K226" s="8">
        <f t="shared" si="16"/>
        <v>62</v>
      </c>
    </row>
    <row r="227" spans="1:11" ht="15" customHeight="1" x14ac:dyDescent="0.25">
      <c r="A227" s="13"/>
      <c r="B227" s="6">
        <v>46417</v>
      </c>
      <c r="C227" s="2">
        <v>200</v>
      </c>
      <c r="D227" s="8"/>
      <c r="E227" s="8"/>
      <c r="F227" s="8"/>
      <c r="G227" s="8"/>
      <c r="H227" s="8"/>
      <c r="I227" s="8"/>
      <c r="J227" s="8">
        <f t="shared" si="15"/>
        <v>0</v>
      </c>
      <c r="K227" s="8">
        <f t="shared" si="16"/>
        <v>200</v>
      </c>
    </row>
    <row r="228" spans="1:11" x14ac:dyDescent="0.25">
      <c r="A228" s="13"/>
      <c r="B228" s="6">
        <v>46418</v>
      </c>
      <c r="C228" s="2">
        <v>200</v>
      </c>
      <c r="D228" s="8"/>
      <c r="E228" s="8"/>
      <c r="F228" s="8"/>
      <c r="G228" s="8"/>
      <c r="H228" s="8">
        <v>1000</v>
      </c>
      <c r="I228" s="8"/>
      <c r="J228" s="8">
        <f t="shared" si="15"/>
        <v>1000</v>
      </c>
      <c r="K228" s="8">
        <f t="shared" si="16"/>
        <v>-800</v>
      </c>
    </row>
    <row r="229" spans="1:11" x14ac:dyDescent="0.25">
      <c r="C229" s="2">
        <f>SUM(C198:C228)</f>
        <v>6200</v>
      </c>
      <c r="D229" s="2">
        <f>SUM(D198:D228)</f>
        <v>1672</v>
      </c>
      <c r="E229" s="2">
        <f ca="1">SUM(E179:E229)</f>
        <v>0</v>
      </c>
      <c r="F229" s="2">
        <f>SUM(F198:F228)</f>
        <v>950</v>
      </c>
      <c r="G229" s="2">
        <f ca="1">SUM(G179:G229)</f>
        <v>0</v>
      </c>
      <c r="H229" s="2">
        <f>SUM(H198:H228)</f>
        <v>1000</v>
      </c>
      <c r="I229" s="2">
        <f ca="1">SUM(I179:I229)</f>
        <v>0</v>
      </c>
      <c r="J229" s="2">
        <f>SUM(J198:J228)</f>
        <v>3622</v>
      </c>
      <c r="K229" s="8">
        <f>SUM(K199:K227)</f>
        <v>3178</v>
      </c>
    </row>
    <row r="230" spans="1:11" ht="15.75" x14ac:dyDescent="0.25">
      <c r="A230" s="4" t="s">
        <v>34</v>
      </c>
      <c r="B230" s="5" t="s">
        <v>36</v>
      </c>
      <c r="C230" s="5" t="s">
        <v>37</v>
      </c>
      <c r="D230" s="5" t="s">
        <v>19</v>
      </c>
      <c r="E230" s="5" t="s">
        <v>4</v>
      </c>
      <c r="F230" s="5" t="s">
        <v>5</v>
      </c>
      <c r="G230" s="5" t="s">
        <v>16</v>
      </c>
      <c r="H230" s="5" t="s">
        <v>6</v>
      </c>
      <c r="I230" s="5" t="s">
        <v>8</v>
      </c>
      <c r="J230" s="5" t="s">
        <v>33</v>
      </c>
      <c r="K230" s="5" t="s">
        <v>22</v>
      </c>
    </row>
    <row r="231" spans="1:11" ht="15" customHeight="1" x14ac:dyDescent="0.25">
      <c r="A231" s="13" t="s">
        <v>46</v>
      </c>
      <c r="B231" s="6">
        <v>46419</v>
      </c>
      <c r="C231" s="2">
        <v>200</v>
      </c>
      <c r="D231" s="8">
        <v>88</v>
      </c>
      <c r="E231" s="8"/>
      <c r="F231" s="8">
        <v>50</v>
      </c>
      <c r="G231" s="8"/>
      <c r="H231" s="8"/>
      <c r="I231" s="8"/>
      <c r="J231" s="8">
        <f t="shared" ref="J231:J258" si="17">SUM(D231:I231)</f>
        <v>138</v>
      </c>
      <c r="K231" s="8">
        <f t="shared" ref="K231:K258" si="18">SUM(C231-J231)</f>
        <v>62</v>
      </c>
    </row>
    <row r="232" spans="1:11" x14ac:dyDescent="0.25">
      <c r="A232" s="13"/>
      <c r="B232" s="6">
        <v>46420</v>
      </c>
      <c r="C232" s="2">
        <v>200</v>
      </c>
      <c r="D232" s="8">
        <v>88</v>
      </c>
      <c r="E232" s="8"/>
      <c r="F232" s="8">
        <v>50</v>
      </c>
      <c r="G232" s="8"/>
      <c r="H232" s="8"/>
      <c r="I232" s="8"/>
      <c r="J232" s="8">
        <f t="shared" si="17"/>
        <v>138</v>
      </c>
      <c r="K232" s="8">
        <f t="shared" si="18"/>
        <v>62</v>
      </c>
    </row>
    <row r="233" spans="1:11" x14ac:dyDescent="0.25">
      <c r="A233" s="13"/>
      <c r="B233" s="6">
        <v>46421</v>
      </c>
      <c r="C233" s="2">
        <v>200</v>
      </c>
      <c r="D233" s="8">
        <v>88</v>
      </c>
      <c r="E233" s="8"/>
      <c r="F233" s="8">
        <v>50</v>
      </c>
      <c r="G233" s="8"/>
      <c r="H233" s="8"/>
      <c r="I233" s="8"/>
      <c r="J233" s="8">
        <f t="shared" si="17"/>
        <v>138</v>
      </c>
      <c r="K233" s="8">
        <f t="shared" si="18"/>
        <v>62</v>
      </c>
    </row>
    <row r="234" spans="1:11" x14ac:dyDescent="0.25">
      <c r="A234" s="13"/>
      <c r="B234" s="6">
        <v>46422</v>
      </c>
      <c r="C234" s="2">
        <v>200</v>
      </c>
      <c r="D234" s="8">
        <v>88</v>
      </c>
      <c r="E234" s="8"/>
      <c r="F234" s="8">
        <v>50</v>
      </c>
      <c r="G234" s="8"/>
      <c r="H234" s="8"/>
      <c r="I234" s="8"/>
      <c r="J234" s="8">
        <f t="shared" si="17"/>
        <v>138</v>
      </c>
      <c r="K234" s="8">
        <f t="shared" si="18"/>
        <v>62</v>
      </c>
    </row>
    <row r="235" spans="1:11" ht="15" customHeight="1" x14ac:dyDescent="0.25">
      <c r="A235" s="13"/>
      <c r="B235" s="6">
        <v>46423</v>
      </c>
      <c r="C235" s="2">
        <v>200</v>
      </c>
      <c r="D235" s="8">
        <v>88</v>
      </c>
      <c r="E235" s="8"/>
      <c r="F235" s="8">
        <v>50</v>
      </c>
      <c r="G235" s="8"/>
      <c r="H235" s="8"/>
      <c r="I235" s="8"/>
      <c r="J235" s="8">
        <f t="shared" si="17"/>
        <v>138</v>
      </c>
      <c r="K235" s="8">
        <f t="shared" si="18"/>
        <v>62</v>
      </c>
    </row>
    <row r="236" spans="1:11" x14ac:dyDescent="0.25">
      <c r="A236" s="13"/>
      <c r="B236" s="6">
        <v>46424</v>
      </c>
      <c r="C236" s="2">
        <v>200</v>
      </c>
      <c r="G236" s="8"/>
      <c r="H236" s="8"/>
      <c r="I236" s="8"/>
      <c r="J236" s="8">
        <f t="shared" si="17"/>
        <v>0</v>
      </c>
      <c r="K236" s="8">
        <f t="shared" si="18"/>
        <v>200</v>
      </c>
    </row>
    <row r="237" spans="1:11" x14ac:dyDescent="0.25">
      <c r="A237" s="13"/>
      <c r="B237" s="6">
        <v>46425</v>
      </c>
      <c r="C237" s="2">
        <v>200</v>
      </c>
      <c r="G237" s="8"/>
      <c r="H237" s="8"/>
      <c r="I237" s="8"/>
      <c r="J237" s="8">
        <f t="shared" si="17"/>
        <v>0</v>
      </c>
      <c r="K237" s="8">
        <f t="shared" si="18"/>
        <v>200</v>
      </c>
    </row>
    <row r="238" spans="1:11" x14ac:dyDescent="0.25">
      <c r="A238" s="13"/>
      <c r="B238" s="6">
        <v>46426</v>
      </c>
      <c r="C238" s="2">
        <v>200</v>
      </c>
      <c r="D238" s="8">
        <v>88</v>
      </c>
      <c r="E238" s="8"/>
      <c r="F238" s="8">
        <v>50</v>
      </c>
      <c r="G238" s="8"/>
      <c r="H238" s="8"/>
      <c r="I238" s="8"/>
      <c r="J238" s="8">
        <f t="shared" si="17"/>
        <v>138</v>
      </c>
      <c r="K238" s="8">
        <f t="shared" si="18"/>
        <v>62</v>
      </c>
    </row>
    <row r="239" spans="1:11" x14ac:dyDescent="0.25">
      <c r="A239" s="13"/>
      <c r="B239" s="6">
        <v>46427</v>
      </c>
      <c r="C239" s="2">
        <v>200</v>
      </c>
      <c r="D239" s="8">
        <v>88</v>
      </c>
      <c r="E239" s="8"/>
      <c r="F239" s="8">
        <v>50</v>
      </c>
      <c r="G239" s="8"/>
      <c r="H239" s="8"/>
      <c r="I239" s="8"/>
      <c r="J239" s="8">
        <f t="shared" si="17"/>
        <v>138</v>
      </c>
      <c r="K239" s="8">
        <f t="shared" si="18"/>
        <v>62</v>
      </c>
    </row>
    <row r="240" spans="1:11" x14ac:dyDescent="0.25">
      <c r="A240" s="13"/>
      <c r="B240" s="6">
        <v>46428</v>
      </c>
      <c r="C240" s="2">
        <v>200</v>
      </c>
      <c r="D240" s="8">
        <v>88</v>
      </c>
      <c r="E240" s="8"/>
      <c r="F240" s="8">
        <v>50</v>
      </c>
      <c r="G240" s="8"/>
      <c r="I240" s="8"/>
      <c r="J240" s="8">
        <f t="shared" si="17"/>
        <v>138</v>
      </c>
      <c r="K240" s="8">
        <f t="shared" si="18"/>
        <v>62</v>
      </c>
    </row>
    <row r="241" spans="1:11" x14ac:dyDescent="0.25">
      <c r="A241" s="13"/>
      <c r="B241" s="6">
        <v>46429</v>
      </c>
      <c r="C241" s="2">
        <v>200</v>
      </c>
      <c r="D241" s="8">
        <v>88</v>
      </c>
      <c r="E241" s="8"/>
      <c r="F241" s="8">
        <v>50</v>
      </c>
      <c r="G241" s="8"/>
      <c r="H241" s="8"/>
      <c r="I241" s="8"/>
      <c r="J241" s="8">
        <f t="shared" si="17"/>
        <v>138</v>
      </c>
      <c r="K241" s="8">
        <f t="shared" si="18"/>
        <v>62</v>
      </c>
    </row>
    <row r="242" spans="1:11" ht="15" customHeight="1" x14ac:dyDescent="0.25">
      <c r="A242" s="13"/>
      <c r="B242" s="6">
        <v>46430</v>
      </c>
      <c r="C242" s="2">
        <v>200</v>
      </c>
      <c r="D242" s="8">
        <v>88</v>
      </c>
      <c r="E242" s="8"/>
      <c r="F242" s="8">
        <v>50</v>
      </c>
      <c r="G242" s="8"/>
      <c r="I242" s="8"/>
      <c r="J242" s="8">
        <f t="shared" si="17"/>
        <v>138</v>
      </c>
      <c r="K242" s="8">
        <f t="shared" si="18"/>
        <v>62</v>
      </c>
    </row>
    <row r="243" spans="1:11" x14ac:dyDescent="0.25">
      <c r="A243" s="13"/>
      <c r="B243" s="6">
        <v>46431</v>
      </c>
      <c r="C243" s="2">
        <v>200</v>
      </c>
      <c r="G243" s="8"/>
      <c r="I243" s="8"/>
      <c r="J243" s="8">
        <f t="shared" si="17"/>
        <v>0</v>
      </c>
      <c r="K243" s="8">
        <f t="shared" si="18"/>
        <v>200</v>
      </c>
    </row>
    <row r="244" spans="1:11" x14ac:dyDescent="0.25">
      <c r="A244" s="13"/>
      <c r="B244" s="6">
        <v>46432</v>
      </c>
      <c r="C244" s="2">
        <v>200</v>
      </c>
      <c r="G244" s="8"/>
      <c r="I244" s="8"/>
      <c r="J244" s="8">
        <f t="shared" si="17"/>
        <v>0</v>
      </c>
      <c r="K244" s="8">
        <f t="shared" si="18"/>
        <v>200</v>
      </c>
    </row>
    <row r="245" spans="1:11" x14ac:dyDescent="0.25">
      <c r="A245" s="13"/>
      <c r="B245" s="6">
        <v>46433</v>
      </c>
      <c r="C245" s="2">
        <v>200</v>
      </c>
      <c r="D245" s="8">
        <v>88</v>
      </c>
      <c r="E245" s="8"/>
      <c r="F245" s="8">
        <v>50</v>
      </c>
      <c r="G245" s="8"/>
      <c r="I245" s="8"/>
      <c r="J245" s="8">
        <f t="shared" si="17"/>
        <v>138</v>
      </c>
      <c r="K245" s="8">
        <f t="shared" si="18"/>
        <v>62</v>
      </c>
    </row>
    <row r="246" spans="1:11" x14ac:dyDescent="0.25">
      <c r="A246" s="13"/>
      <c r="B246" s="6">
        <v>46434</v>
      </c>
      <c r="C246" s="2">
        <v>200</v>
      </c>
      <c r="D246" s="8">
        <v>88</v>
      </c>
      <c r="E246" s="8"/>
      <c r="F246" s="8">
        <v>50</v>
      </c>
      <c r="G246" s="8"/>
      <c r="H246" s="8"/>
      <c r="I246" s="8"/>
      <c r="J246" s="8">
        <f t="shared" si="17"/>
        <v>138</v>
      </c>
      <c r="K246" s="8">
        <f t="shared" si="18"/>
        <v>62</v>
      </c>
    </row>
    <row r="247" spans="1:11" x14ac:dyDescent="0.25">
      <c r="A247" s="13"/>
      <c r="B247" s="6">
        <v>46435</v>
      </c>
      <c r="C247" s="2">
        <v>200</v>
      </c>
      <c r="D247" s="8">
        <v>88</v>
      </c>
      <c r="E247" s="8"/>
      <c r="F247" s="8">
        <v>50</v>
      </c>
      <c r="G247" s="8"/>
      <c r="I247" s="8"/>
      <c r="J247" s="8">
        <f t="shared" si="17"/>
        <v>138</v>
      </c>
      <c r="K247" s="8">
        <f t="shared" si="18"/>
        <v>62</v>
      </c>
    </row>
    <row r="248" spans="1:11" x14ac:dyDescent="0.25">
      <c r="A248" s="13"/>
      <c r="B248" s="6">
        <v>46436</v>
      </c>
      <c r="C248" s="2">
        <v>200</v>
      </c>
      <c r="D248" s="8">
        <v>88</v>
      </c>
      <c r="E248" s="8"/>
      <c r="F248" s="8">
        <v>50</v>
      </c>
      <c r="G248" s="8"/>
      <c r="H248" s="8"/>
      <c r="I248" s="8"/>
      <c r="J248" s="8">
        <f t="shared" si="17"/>
        <v>138</v>
      </c>
      <c r="K248" s="8">
        <f t="shared" si="18"/>
        <v>62</v>
      </c>
    </row>
    <row r="249" spans="1:11" x14ac:dyDescent="0.25">
      <c r="A249" s="13"/>
      <c r="B249" s="6">
        <v>46437</v>
      </c>
      <c r="C249" s="2">
        <v>200</v>
      </c>
      <c r="D249" s="8">
        <v>88</v>
      </c>
      <c r="E249" s="8"/>
      <c r="F249" s="8">
        <v>50</v>
      </c>
      <c r="G249" s="8"/>
      <c r="I249" s="8"/>
      <c r="J249" s="8">
        <f t="shared" si="17"/>
        <v>138</v>
      </c>
      <c r="K249" s="8">
        <f t="shared" si="18"/>
        <v>62</v>
      </c>
    </row>
    <row r="250" spans="1:11" x14ac:dyDescent="0.25">
      <c r="A250" s="13"/>
      <c r="B250" s="6">
        <v>46438</v>
      </c>
      <c r="C250" s="2">
        <v>200</v>
      </c>
      <c r="G250" s="8"/>
      <c r="H250" s="8"/>
      <c r="I250" s="8"/>
      <c r="J250" s="8">
        <f t="shared" si="17"/>
        <v>0</v>
      </c>
      <c r="K250" s="8">
        <f t="shared" si="18"/>
        <v>200</v>
      </c>
    </row>
    <row r="251" spans="1:11" x14ac:dyDescent="0.25">
      <c r="A251" s="13"/>
      <c r="B251" s="6">
        <v>46439</v>
      </c>
      <c r="C251" s="2">
        <v>200</v>
      </c>
      <c r="G251" s="8"/>
      <c r="H251" s="8"/>
      <c r="I251" s="8"/>
      <c r="J251" s="8">
        <f t="shared" si="17"/>
        <v>0</v>
      </c>
      <c r="K251" s="8">
        <f t="shared" si="18"/>
        <v>200</v>
      </c>
    </row>
    <row r="252" spans="1:11" x14ac:dyDescent="0.25">
      <c r="A252" s="13"/>
      <c r="B252" s="6">
        <v>46440</v>
      </c>
      <c r="C252" s="2">
        <v>200</v>
      </c>
      <c r="D252" s="8">
        <v>88</v>
      </c>
      <c r="E252" s="8"/>
      <c r="F252" s="8">
        <v>50</v>
      </c>
      <c r="G252" s="8"/>
      <c r="H252" s="8"/>
      <c r="I252" s="8"/>
      <c r="J252" s="8">
        <f t="shared" si="17"/>
        <v>138</v>
      </c>
      <c r="K252" s="8">
        <f t="shared" si="18"/>
        <v>62</v>
      </c>
    </row>
    <row r="253" spans="1:11" x14ac:dyDescent="0.25">
      <c r="A253" s="13"/>
      <c r="B253" s="6">
        <v>46441</v>
      </c>
      <c r="C253" s="2">
        <v>200</v>
      </c>
      <c r="D253" s="8">
        <v>88</v>
      </c>
      <c r="E253" s="8"/>
      <c r="F253" s="8">
        <v>50</v>
      </c>
      <c r="G253" s="8"/>
      <c r="H253" s="8"/>
      <c r="I253" s="8"/>
      <c r="J253" s="8">
        <f t="shared" si="17"/>
        <v>138</v>
      </c>
      <c r="K253" s="8">
        <f t="shared" si="18"/>
        <v>62</v>
      </c>
    </row>
    <row r="254" spans="1:11" x14ac:dyDescent="0.25">
      <c r="A254" s="13"/>
      <c r="B254" s="6">
        <v>46442</v>
      </c>
      <c r="C254" s="2">
        <v>200</v>
      </c>
      <c r="D254" s="8">
        <v>88</v>
      </c>
      <c r="E254" s="8"/>
      <c r="F254" s="8">
        <v>50</v>
      </c>
      <c r="G254" s="8"/>
      <c r="H254" s="8"/>
      <c r="I254" s="8"/>
      <c r="J254" s="8">
        <f t="shared" si="17"/>
        <v>138</v>
      </c>
      <c r="K254" s="8">
        <f t="shared" si="18"/>
        <v>62</v>
      </c>
    </row>
    <row r="255" spans="1:11" x14ac:dyDescent="0.25">
      <c r="A255" s="13"/>
      <c r="B255" s="6">
        <v>46443</v>
      </c>
      <c r="C255" s="2">
        <v>200</v>
      </c>
      <c r="D255" s="8">
        <v>88</v>
      </c>
      <c r="E255" s="8"/>
      <c r="F255" s="8">
        <v>50</v>
      </c>
      <c r="G255" s="8"/>
      <c r="H255" s="8"/>
      <c r="I255" s="8"/>
      <c r="J255" s="8">
        <f t="shared" si="17"/>
        <v>138</v>
      </c>
      <c r="K255" s="8">
        <f t="shared" si="18"/>
        <v>62</v>
      </c>
    </row>
    <row r="256" spans="1:11" x14ac:dyDescent="0.25">
      <c r="A256" s="13"/>
      <c r="B256" s="6">
        <v>46444</v>
      </c>
      <c r="C256" s="2">
        <v>200</v>
      </c>
      <c r="D256" s="8">
        <v>88</v>
      </c>
      <c r="E256" s="8"/>
      <c r="F256" s="8">
        <v>50</v>
      </c>
      <c r="G256" s="8"/>
      <c r="H256" s="8"/>
      <c r="I256" s="8"/>
      <c r="J256" s="8">
        <f t="shared" si="17"/>
        <v>138</v>
      </c>
      <c r="K256" s="8">
        <f t="shared" si="18"/>
        <v>62</v>
      </c>
    </row>
    <row r="257" spans="1:11" x14ac:dyDescent="0.25">
      <c r="A257" s="13"/>
      <c r="B257" s="6">
        <v>46445</v>
      </c>
      <c r="C257" s="2">
        <v>200</v>
      </c>
      <c r="G257" s="8"/>
      <c r="H257" s="8"/>
      <c r="I257" s="8"/>
      <c r="J257" s="8">
        <f t="shared" si="17"/>
        <v>0</v>
      </c>
      <c r="K257" s="8">
        <f t="shared" si="18"/>
        <v>200</v>
      </c>
    </row>
    <row r="258" spans="1:11" x14ac:dyDescent="0.25">
      <c r="A258" s="13"/>
      <c r="B258" s="6">
        <v>46446</v>
      </c>
      <c r="C258" s="2">
        <v>200</v>
      </c>
      <c r="G258" s="8"/>
      <c r="H258" s="8"/>
      <c r="I258" s="8"/>
      <c r="J258" s="8">
        <f t="shared" si="17"/>
        <v>0</v>
      </c>
      <c r="K258" s="8">
        <f t="shared" si="18"/>
        <v>200</v>
      </c>
    </row>
    <row r="259" spans="1:11" x14ac:dyDescent="0.25">
      <c r="C259" s="2">
        <f>SUM(C231:C258)</f>
        <v>5600</v>
      </c>
      <c r="D259" s="2">
        <f>SUM(D231:D258)</f>
        <v>1760</v>
      </c>
      <c r="E259" s="2">
        <f ca="1">SUM(E212:E260)</f>
        <v>0</v>
      </c>
      <c r="F259" s="2">
        <f>SUM(F231:F258)</f>
        <v>1000</v>
      </c>
      <c r="G259" s="2">
        <f ca="1">SUM(G212:G260)</f>
        <v>0</v>
      </c>
      <c r="H259" s="2">
        <f>SUM(H231:H258)</f>
        <v>0</v>
      </c>
      <c r="I259" s="2">
        <f ca="1">SUM(I212:I260)</f>
        <v>0</v>
      </c>
      <c r="J259" s="2">
        <f>SUM(J231:J258)</f>
        <v>2760</v>
      </c>
      <c r="K259" s="8">
        <f>SUM(K231:K258)</f>
        <v>2840</v>
      </c>
    </row>
    <row r="260" spans="1:11" ht="15.75" x14ac:dyDescent="0.25">
      <c r="A260" s="4" t="s">
        <v>34</v>
      </c>
      <c r="B260" s="5" t="s">
        <v>36</v>
      </c>
      <c r="C260" s="5" t="s">
        <v>37</v>
      </c>
      <c r="D260" s="5" t="s">
        <v>19</v>
      </c>
      <c r="E260" s="5" t="s">
        <v>4</v>
      </c>
      <c r="F260" s="5" t="s">
        <v>5</v>
      </c>
      <c r="G260" s="5" t="s">
        <v>16</v>
      </c>
      <c r="H260" s="5" t="s">
        <v>6</v>
      </c>
      <c r="I260" s="5" t="s">
        <v>8</v>
      </c>
      <c r="J260" s="5" t="s">
        <v>33</v>
      </c>
      <c r="K260" s="5" t="s">
        <v>22</v>
      </c>
    </row>
    <row r="261" spans="1:11" x14ac:dyDescent="0.25">
      <c r="A261" s="13" t="s">
        <v>47</v>
      </c>
      <c r="B261" s="6">
        <v>46447</v>
      </c>
      <c r="C261" s="2">
        <v>200</v>
      </c>
      <c r="D261" s="8">
        <v>88</v>
      </c>
      <c r="E261" s="8"/>
      <c r="F261" s="8">
        <v>50</v>
      </c>
      <c r="G261" s="8"/>
      <c r="H261" s="8"/>
      <c r="I261" s="8"/>
      <c r="J261" s="8">
        <f t="shared" ref="J261:J291" si="19">SUM(D261:I261)</f>
        <v>138</v>
      </c>
      <c r="K261" s="8">
        <f t="shared" ref="K261:K291" si="20">SUM(C261-J261)</f>
        <v>62</v>
      </c>
    </row>
    <row r="262" spans="1:11" x14ac:dyDescent="0.25">
      <c r="A262" s="13"/>
      <c r="B262" s="6">
        <v>46448</v>
      </c>
      <c r="C262" s="2">
        <v>200</v>
      </c>
      <c r="D262" s="8">
        <v>88</v>
      </c>
      <c r="E262" s="8"/>
      <c r="F262" s="8">
        <v>50</v>
      </c>
      <c r="G262" s="8"/>
      <c r="H262" s="8"/>
      <c r="I262" s="8"/>
      <c r="J262" s="8">
        <f t="shared" si="19"/>
        <v>138</v>
      </c>
      <c r="K262" s="8">
        <f t="shared" si="20"/>
        <v>62</v>
      </c>
    </row>
    <row r="263" spans="1:11" x14ac:dyDescent="0.25">
      <c r="A263" s="13"/>
      <c r="B263" s="6">
        <v>46449</v>
      </c>
      <c r="C263" s="2">
        <v>200</v>
      </c>
      <c r="D263" s="8">
        <v>88</v>
      </c>
      <c r="E263" s="8"/>
      <c r="F263" s="8">
        <v>50</v>
      </c>
      <c r="G263" s="8"/>
      <c r="H263" s="8"/>
      <c r="I263" s="8"/>
      <c r="J263" s="8">
        <f t="shared" si="19"/>
        <v>138</v>
      </c>
      <c r="K263" s="8">
        <f t="shared" si="20"/>
        <v>62</v>
      </c>
    </row>
    <row r="264" spans="1:11" ht="15" customHeight="1" x14ac:dyDescent="0.25">
      <c r="A264" s="13"/>
      <c r="B264" s="6">
        <v>46450</v>
      </c>
      <c r="C264" s="2">
        <v>200</v>
      </c>
      <c r="D264" s="8">
        <v>88</v>
      </c>
      <c r="E264" s="8"/>
      <c r="F264" s="8">
        <v>50</v>
      </c>
      <c r="G264" s="8"/>
      <c r="H264" s="8"/>
      <c r="I264" s="8"/>
      <c r="J264" s="8">
        <f t="shared" si="19"/>
        <v>138</v>
      </c>
      <c r="K264" s="8">
        <f t="shared" si="20"/>
        <v>62</v>
      </c>
    </row>
    <row r="265" spans="1:11" x14ac:dyDescent="0.25">
      <c r="A265" s="13"/>
      <c r="B265" s="6">
        <v>46451</v>
      </c>
      <c r="C265" s="2">
        <v>200</v>
      </c>
      <c r="D265" s="8">
        <v>88</v>
      </c>
      <c r="E265" s="8"/>
      <c r="F265" s="8">
        <v>50</v>
      </c>
      <c r="G265" s="8"/>
      <c r="H265" s="8"/>
      <c r="I265" s="8"/>
      <c r="J265" s="8">
        <f t="shared" si="19"/>
        <v>138</v>
      </c>
      <c r="K265" s="8">
        <f t="shared" si="20"/>
        <v>62</v>
      </c>
    </row>
    <row r="266" spans="1:11" x14ac:dyDescent="0.25">
      <c r="A266" s="13"/>
      <c r="B266" s="6">
        <v>46452</v>
      </c>
      <c r="C266" s="2">
        <v>200</v>
      </c>
      <c r="D266" s="8"/>
      <c r="E266" s="8"/>
      <c r="F266" s="8"/>
      <c r="G266" s="8"/>
      <c r="H266" s="8"/>
      <c r="I266" s="8"/>
      <c r="J266" s="8">
        <f t="shared" si="19"/>
        <v>0</v>
      </c>
      <c r="K266" s="8">
        <f t="shared" si="20"/>
        <v>200</v>
      </c>
    </row>
    <row r="267" spans="1:11" x14ac:dyDescent="0.25">
      <c r="A267" s="13"/>
      <c r="B267" s="6">
        <v>46453</v>
      </c>
      <c r="C267" s="2">
        <v>200</v>
      </c>
      <c r="G267" s="8"/>
      <c r="H267" s="8">
        <v>1000</v>
      </c>
      <c r="I267" s="8"/>
      <c r="J267" s="8">
        <f t="shared" si="19"/>
        <v>1000</v>
      </c>
      <c r="K267" s="8">
        <f t="shared" si="20"/>
        <v>-800</v>
      </c>
    </row>
    <row r="268" spans="1:11" x14ac:dyDescent="0.25">
      <c r="A268" s="13"/>
      <c r="B268" s="6">
        <v>46454</v>
      </c>
      <c r="C268" s="2">
        <v>200</v>
      </c>
      <c r="D268" s="8">
        <v>88</v>
      </c>
      <c r="E268" s="8"/>
      <c r="F268" s="8">
        <v>50</v>
      </c>
      <c r="G268" s="8"/>
      <c r="H268" s="8"/>
      <c r="I268" s="8"/>
      <c r="J268" s="8">
        <f t="shared" si="19"/>
        <v>138</v>
      </c>
      <c r="K268" s="8">
        <f t="shared" si="20"/>
        <v>62</v>
      </c>
    </row>
    <row r="269" spans="1:11" x14ac:dyDescent="0.25">
      <c r="A269" s="13"/>
      <c r="B269" s="6">
        <v>46455</v>
      </c>
      <c r="C269" s="2">
        <v>200</v>
      </c>
      <c r="D269" s="8">
        <v>88</v>
      </c>
      <c r="E269" s="8"/>
      <c r="F269" s="8">
        <v>50</v>
      </c>
      <c r="G269" s="8"/>
      <c r="H269" s="8"/>
      <c r="I269" s="8"/>
      <c r="J269" s="8">
        <f t="shared" si="19"/>
        <v>138</v>
      </c>
      <c r="K269" s="8">
        <f t="shared" si="20"/>
        <v>62</v>
      </c>
    </row>
    <row r="270" spans="1:11" x14ac:dyDescent="0.25">
      <c r="A270" s="13"/>
      <c r="B270" s="6">
        <v>46456</v>
      </c>
      <c r="C270" s="2">
        <v>200</v>
      </c>
      <c r="D270" s="8">
        <v>88</v>
      </c>
      <c r="E270" s="8"/>
      <c r="F270" s="8">
        <v>50</v>
      </c>
      <c r="G270" s="8"/>
      <c r="H270" s="8"/>
      <c r="I270" s="8"/>
      <c r="J270" s="8">
        <f t="shared" si="19"/>
        <v>138</v>
      </c>
      <c r="K270" s="8">
        <f t="shared" si="20"/>
        <v>62</v>
      </c>
    </row>
    <row r="271" spans="1:11" x14ac:dyDescent="0.25">
      <c r="A271" s="13"/>
      <c r="B271" s="6">
        <v>46457</v>
      </c>
      <c r="C271" s="2">
        <v>200</v>
      </c>
      <c r="D271" s="8">
        <v>88</v>
      </c>
      <c r="E271" s="8"/>
      <c r="F271" s="8">
        <v>50</v>
      </c>
      <c r="G271" s="8"/>
      <c r="H271" s="8"/>
      <c r="I271" s="8"/>
      <c r="J271" s="8">
        <f t="shared" si="19"/>
        <v>138</v>
      </c>
      <c r="K271" s="8">
        <f t="shared" si="20"/>
        <v>62</v>
      </c>
    </row>
    <row r="272" spans="1:11" x14ac:dyDescent="0.25">
      <c r="A272" s="13"/>
      <c r="B272" s="6">
        <v>46458</v>
      </c>
      <c r="C272" s="2">
        <v>200</v>
      </c>
      <c r="D272" s="8">
        <v>88</v>
      </c>
      <c r="E272" s="8"/>
      <c r="F272" s="8">
        <v>50</v>
      </c>
      <c r="G272" s="8"/>
      <c r="H272" s="8"/>
      <c r="I272" s="8"/>
      <c r="J272" s="8">
        <f t="shared" si="19"/>
        <v>138</v>
      </c>
      <c r="K272" s="8">
        <f t="shared" si="20"/>
        <v>62</v>
      </c>
    </row>
    <row r="273" spans="1:11" x14ac:dyDescent="0.25">
      <c r="A273" s="13"/>
      <c r="B273" s="6">
        <v>46459</v>
      </c>
      <c r="C273" s="2">
        <v>200</v>
      </c>
      <c r="D273" s="8"/>
      <c r="E273" s="8"/>
      <c r="F273" s="8"/>
      <c r="G273" s="8"/>
      <c r="I273" s="8"/>
      <c r="J273" s="8">
        <f t="shared" si="19"/>
        <v>0</v>
      </c>
      <c r="K273" s="8">
        <f t="shared" si="20"/>
        <v>200</v>
      </c>
    </row>
    <row r="274" spans="1:11" x14ac:dyDescent="0.25">
      <c r="A274" s="13"/>
      <c r="B274" s="6">
        <v>46460</v>
      </c>
      <c r="C274" s="2">
        <v>200</v>
      </c>
      <c r="G274" s="8"/>
      <c r="H274" s="8"/>
      <c r="I274" s="8"/>
      <c r="J274" s="8">
        <f t="shared" si="19"/>
        <v>0</v>
      </c>
      <c r="K274" s="8">
        <f t="shared" si="20"/>
        <v>200</v>
      </c>
    </row>
    <row r="275" spans="1:11" x14ac:dyDescent="0.25">
      <c r="A275" s="13"/>
      <c r="B275" s="6">
        <v>46461</v>
      </c>
      <c r="C275" s="2">
        <v>200</v>
      </c>
      <c r="D275" s="8">
        <v>88</v>
      </c>
      <c r="E275" s="8"/>
      <c r="F275" s="8">
        <v>50</v>
      </c>
      <c r="G275" s="8"/>
      <c r="I275" s="8"/>
      <c r="J275" s="8">
        <f t="shared" si="19"/>
        <v>138</v>
      </c>
      <c r="K275" s="8">
        <f t="shared" si="20"/>
        <v>62</v>
      </c>
    </row>
    <row r="276" spans="1:11" x14ac:dyDescent="0.25">
      <c r="A276" s="13"/>
      <c r="B276" s="6">
        <v>46462</v>
      </c>
      <c r="C276" s="2">
        <v>200</v>
      </c>
      <c r="D276" s="8">
        <v>88</v>
      </c>
      <c r="E276" s="8"/>
      <c r="F276" s="8">
        <v>50</v>
      </c>
      <c r="G276" s="8"/>
      <c r="I276" s="8"/>
      <c r="J276" s="8">
        <f t="shared" si="19"/>
        <v>138</v>
      </c>
      <c r="K276" s="8">
        <f t="shared" si="20"/>
        <v>62</v>
      </c>
    </row>
    <row r="277" spans="1:11" x14ac:dyDescent="0.25">
      <c r="A277" s="13"/>
      <c r="B277" s="6">
        <v>46463</v>
      </c>
      <c r="C277" s="2">
        <v>200</v>
      </c>
      <c r="D277" s="8">
        <v>88</v>
      </c>
      <c r="E277" s="8"/>
      <c r="F277" s="8">
        <v>50</v>
      </c>
      <c r="G277" s="8"/>
      <c r="H277" s="8"/>
      <c r="I277" s="8"/>
      <c r="J277" s="8">
        <f t="shared" si="19"/>
        <v>138</v>
      </c>
      <c r="K277" s="8">
        <f t="shared" si="20"/>
        <v>62</v>
      </c>
    </row>
    <row r="278" spans="1:11" x14ac:dyDescent="0.25">
      <c r="A278" s="13"/>
      <c r="B278" s="6">
        <v>46464</v>
      </c>
      <c r="C278" s="2">
        <v>200</v>
      </c>
      <c r="D278" s="8">
        <v>88</v>
      </c>
      <c r="E278" s="8"/>
      <c r="F278" s="8">
        <v>50</v>
      </c>
      <c r="G278" s="8"/>
      <c r="I278" s="8"/>
      <c r="J278" s="8">
        <f t="shared" si="19"/>
        <v>138</v>
      </c>
      <c r="K278" s="8">
        <f t="shared" si="20"/>
        <v>62</v>
      </c>
    </row>
    <row r="279" spans="1:11" x14ac:dyDescent="0.25">
      <c r="A279" s="13"/>
      <c r="B279" s="6">
        <v>46465</v>
      </c>
      <c r="C279" s="2">
        <v>200</v>
      </c>
      <c r="D279" s="8">
        <v>88</v>
      </c>
      <c r="E279" s="8"/>
      <c r="F279" s="8">
        <v>50</v>
      </c>
      <c r="G279" s="8"/>
      <c r="H279" s="8"/>
      <c r="I279" s="8"/>
      <c r="J279" s="8">
        <f t="shared" si="19"/>
        <v>138</v>
      </c>
      <c r="K279" s="8">
        <f t="shared" si="20"/>
        <v>62</v>
      </c>
    </row>
    <row r="280" spans="1:11" x14ac:dyDescent="0.25">
      <c r="A280" s="13"/>
      <c r="B280" s="6">
        <v>46466</v>
      </c>
      <c r="C280" s="2">
        <v>200</v>
      </c>
      <c r="D280" s="8"/>
      <c r="E280" s="8"/>
      <c r="F280" s="8"/>
      <c r="G280" s="8"/>
      <c r="H280" s="8"/>
      <c r="I280" s="8"/>
      <c r="J280" s="8">
        <f t="shared" si="19"/>
        <v>0</v>
      </c>
      <c r="K280" s="8">
        <f t="shared" si="20"/>
        <v>200</v>
      </c>
    </row>
    <row r="281" spans="1:11" x14ac:dyDescent="0.25">
      <c r="A281" s="13"/>
      <c r="B281" s="6">
        <v>46467</v>
      </c>
      <c r="C281" s="2">
        <v>200</v>
      </c>
      <c r="G281" s="8"/>
      <c r="H281" s="8"/>
      <c r="I281" s="8"/>
      <c r="J281" s="8">
        <f t="shared" si="19"/>
        <v>0</v>
      </c>
      <c r="K281" s="8">
        <f t="shared" si="20"/>
        <v>200</v>
      </c>
    </row>
    <row r="282" spans="1:11" x14ac:dyDescent="0.25">
      <c r="A282" s="13"/>
      <c r="B282" s="6">
        <v>46468</v>
      </c>
      <c r="C282" s="2">
        <v>200</v>
      </c>
      <c r="D282" s="8">
        <v>88</v>
      </c>
      <c r="E282" s="8"/>
      <c r="F282" s="8">
        <v>50</v>
      </c>
      <c r="G282" s="8"/>
      <c r="I282" s="8"/>
      <c r="J282" s="8">
        <f t="shared" si="19"/>
        <v>138</v>
      </c>
      <c r="K282" s="8">
        <f t="shared" si="20"/>
        <v>62</v>
      </c>
    </row>
    <row r="283" spans="1:11" x14ac:dyDescent="0.25">
      <c r="A283" s="13"/>
      <c r="B283" s="6">
        <v>46469</v>
      </c>
      <c r="C283" s="2">
        <v>200</v>
      </c>
      <c r="D283" s="8">
        <v>88</v>
      </c>
      <c r="E283" s="8"/>
      <c r="F283" s="8">
        <v>50</v>
      </c>
      <c r="G283" s="8"/>
      <c r="H283" s="8"/>
      <c r="I283" s="8"/>
      <c r="J283" s="8">
        <f t="shared" si="19"/>
        <v>138</v>
      </c>
      <c r="K283" s="8">
        <f t="shared" si="20"/>
        <v>62</v>
      </c>
    </row>
    <row r="284" spans="1:11" x14ac:dyDescent="0.25">
      <c r="A284" s="13"/>
      <c r="B284" s="6">
        <v>46470</v>
      </c>
      <c r="C284" s="2">
        <v>200</v>
      </c>
      <c r="D284" s="8">
        <v>88</v>
      </c>
      <c r="E284" s="8"/>
      <c r="F284" s="8">
        <v>50</v>
      </c>
      <c r="G284" s="8"/>
      <c r="H284" s="8"/>
      <c r="I284" s="8"/>
      <c r="J284" s="8">
        <f t="shared" si="19"/>
        <v>138</v>
      </c>
      <c r="K284" s="8">
        <f t="shared" si="20"/>
        <v>62</v>
      </c>
    </row>
    <row r="285" spans="1:11" x14ac:dyDescent="0.25">
      <c r="A285" s="13"/>
      <c r="B285" s="6">
        <v>46471</v>
      </c>
      <c r="C285" s="2">
        <v>200</v>
      </c>
      <c r="D285" s="8">
        <v>88</v>
      </c>
      <c r="E285" s="8"/>
      <c r="F285" s="8">
        <v>50</v>
      </c>
      <c r="G285" s="8"/>
      <c r="H285" s="8"/>
      <c r="I285" s="8"/>
      <c r="J285" s="8">
        <f t="shared" si="19"/>
        <v>138</v>
      </c>
      <c r="K285" s="8">
        <f t="shared" si="20"/>
        <v>62</v>
      </c>
    </row>
    <row r="286" spans="1:11" x14ac:dyDescent="0.25">
      <c r="A286" s="13"/>
      <c r="B286" s="6">
        <v>46472</v>
      </c>
      <c r="C286" s="2">
        <v>200</v>
      </c>
      <c r="D286" s="8">
        <v>88</v>
      </c>
      <c r="E286" s="8"/>
      <c r="F286" s="8">
        <v>50</v>
      </c>
      <c r="G286" s="8"/>
      <c r="H286" s="8"/>
      <c r="I286" s="8"/>
      <c r="J286" s="8">
        <f t="shared" si="19"/>
        <v>138</v>
      </c>
      <c r="K286" s="8">
        <f t="shared" si="20"/>
        <v>62</v>
      </c>
    </row>
    <row r="287" spans="1:11" x14ac:dyDescent="0.25">
      <c r="A287" s="13"/>
      <c r="B287" s="6">
        <v>46473</v>
      </c>
      <c r="C287" s="2">
        <v>200</v>
      </c>
      <c r="D287" s="8"/>
      <c r="E287" s="8"/>
      <c r="F287" s="8"/>
      <c r="G287" s="8"/>
      <c r="H287" s="8"/>
      <c r="I287" s="8"/>
      <c r="J287" s="8">
        <f t="shared" si="19"/>
        <v>0</v>
      </c>
      <c r="K287" s="8">
        <f t="shared" si="20"/>
        <v>200</v>
      </c>
    </row>
    <row r="288" spans="1:11" x14ac:dyDescent="0.25">
      <c r="A288" s="13"/>
      <c r="B288" s="6">
        <v>46474</v>
      </c>
      <c r="C288" s="2">
        <v>200</v>
      </c>
      <c r="G288" s="8"/>
      <c r="H288" s="8"/>
      <c r="I288" s="8"/>
      <c r="J288" s="8">
        <f t="shared" si="19"/>
        <v>0</v>
      </c>
      <c r="K288" s="8">
        <f t="shared" si="20"/>
        <v>200</v>
      </c>
    </row>
    <row r="289" spans="1:11" x14ac:dyDescent="0.25">
      <c r="A289" s="13"/>
      <c r="B289" s="6">
        <v>46475</v>
      </c>
      <c r="C289" s="2">
        <v>200</v>
      </c>
      <c r="D289" s="8">
        <v>88</v>
      </c>
      <c r="E289" s="8"/>
      <c r="F289" s="8">
        <v>50</v>
      </c>
      <c r="G289" s="8"/>
      <c r="H289" s="8"/>
      <c r="I289" s="8"/>
      <c r="J289" s="8">
        <f t="shared" si="19"/>
        <v>138</v>
      </c>
      <c r="K289" s="8">
        <f t="shared" si="20"/>
        <v>62</v>
      </c>
    </row>
    <row r="290" spans="1:11" x14ac:dyDescent="0.25">
      <c r="A290" s="13"/>
      <c r="B290" s="6">
        <v>46476</v>
      </c>
      <c r="C290" s="2">
        <v>200</v>
      </c>
      <c r="D290" s="8">
        <v>88</v>
      </c>
      <c r="E290" s="8"/>
      <c r="F290" s="8">
        <v>50</v>
      </c>
      <c r="G290" s="8"/>
      <c r="H290" s="8"/>
      <c r="I290" s="8"/>
      <c r="J290" s="8">
        <f t="shared" si="19"/>
        <v>138</v>
      </c>
      <c r="K290" s="8">
        <f t="shared" si="20"/>
        <v>62</v>
      </c>
    </row>
    <row r="291" spans="1:11" x14ac:dyDescent="0.25">
      <c r="A291" s="13"/>
      <c r="B291" s="6">
        <v>46477</v>
      </c>
      <c r="C291" s="2">
        <v>200</v>
      </c>
      <c r="D291" s="8">
        <v>88</v>
      </c>
      <c r="E291" s="8"/>
      <c r="F291" s="8">
        <v>50</v>
      </c>
      <c r="G291" s="8"/>
      <c r="H291" s="8"/>
      <c r="I291" s="8"/>
      <c r="J291" s="8">
        <f t="shared" si="19"/>
        <v>138</v>
      </c>
      <c r="K291" s="8">
        <f t="shared" si="20"/>
        <v>62</v>
      </c>
    </row>
    <row r="292" spans="1:11" x14ac:dyDescent="0.25">
      <c r="A292" s="9"/>
      <c r="B292" s="6"/>
      <c r="C292" s="2">
        <f>SUM(C261:C291)</f>
        <v>6200</v>
      </c>
      <c r="D292" s="2">
        <f>SUM(D261:D291)</f>
        <v>2024</v>
      </c>
      <c r="E292" s="2">
        <f ca="1">SUM(E245:E294)</f>
        <v>0</v>
      </c>
      <c r="F292" s="2">
        <f>SUM(F261:F291)</f>
        <v>1150</v>
      </c>
      <c r="G292" s="2">
        <f ca="1">SUM(G245:G294)</f>
        <v>0</v>
      </c>
      <c r="H292" s="2">
        <f>SUM(H261:H291)</f>
        <v>1000</v>
      </c>
      <c r="I292" s="2">
        <f ca="1">SUM(I245:I294)</f>
        <v>0</v>
      </c>
      <c r="J292" s="2">
        <f>SUM(J261:J291)</f>
        <v>4174</v>
      </c>
      <c r="K292" s="8">
        <f>SUM(K261:K291)</f>
        <v>2026</v>
      </c>
    </row>
    <row r="293" spans="1:11" ht="15.75" x14ac:dyDescent="0.25">
      <c r="A293" s="4" t="s">
        <v>34</v>
      </c>
      <c r="B293" s="5" t="s">
        <v>36</v>
      </c>
      <c r="C293" s="5" t="s">
        <v>37</v>
      </c>
      <c r="D293" s="5" t="s">
        <v>19</v>
      </c>
      <c r="E293" s="5" t="s">
        <v>4</v>
      </c>
      <c r="F293" s="5" t="s">
        <v>5</v>
      </c>
      <c r="G293" s="5" t="s">
        <v>16</v>
      </c>
      <c r="H293" s="5" t="s">
        <v>6</v>
      </c>
      <c r="I293" s="5" t="s">
        <v>8</v>
      </c>
      <c r="J293" s="5" t="s">
        <v>33</v>
      </c>
      <c r="K293" s="5" t="s">
        <v>22</v>
      </c>
    </row>
    <row r="294" spans="1:11" ht="15" customHeight="1" x14ac:dyDescent="0.25">
      <c r="A294" s="13" t="s">
        <v>48</v>
      </c>
      <c r="B294" s="6">
        <v>46478</v>
      </c>
      <c r="C294" s="2">
        <v>200</v>
      </c>
      <c r="D294" s="8">
        <v>88</v>
      </c>
      <c r="E294" s="8"/>
      <c r="F294" s="8">
        <v>50</v>
      </c>
      <c r="G294" s="8"/>
      <c r="H294" s="8"/>
      <c r="I294" s="8"/>
      <c r="J294" s="8">
        <f t="shared" ref="J294:J323" si="21">SUM(D294:I294)</f>
        <v>138</v>
      </c>
      <c r="K294" s="8">
        <f t="shared" ref="K294:K323" si="22">SUM(C294-J294)</f>
        <v>62</v>
      </c>
    </row>
    <row r="295" spans="1:11" x14ac:dyDescent="0.25">
      <c r="A295" s="13"/>
      <c r="B295" s="6">
        <v>46479</v>
      </c>
      <c r="C295" s="2">
        <v>200</v>
      </c>
      <c r="D295" s="8">
        <v>88</v>
      </c>
      <c r="E295" s="8"/>
      <c r="F295" s="8">
        <v>50</v>
      </c>
      <c r="G295" s="8"/>
      <c r="H295" s="8"/>
      <c r="I295" s="8"/>
      <c r="J295" s="8">
        <f t="shared" si="21"/>
        <v>138</v>
      </c>
      <c r="K295" s="8">
        <f t="shared" si="22"/>
        <v>62</v>
      </c>
    </row>
    <row r="296" spans="1:11" x14ac:dyDescent="0.25">
      <c r="A296" s="13"/>
      <c r="B296" s="6">
        <v>46480</v>
      </c>
      <c r="C296" s="2">
        <v>200</v>
      </c>
      <c r="D296" s="8">
        <v>88</v>
      </c>
      <c r="E296" s="8"/>
      <c r="F296" s="8">
        <v>50</v>
      </c>
      <c r="G296" s="8"/>
      <c r="H296" s="8"/>
      <c r="I296" s="8"/>
      <c r="J296" s="8">
        <f t="shared" si="21"/>
        <v>138</v>
      </c>
      <c r="K296" s="8">
        <f t="shared" si="22"/>
        <v>62</v>
      </c>
    </row>
    <row r="297" spans="1:11" x14ac:dyDescent="0.25">
      <c r="A297" s="13"/>
      <c r="B297" s="6">
        <v>46481</v>
      </c>
      <c r="C297" s="2">
        <v>200</v>
      </c>
      <c r="D297" s="8"/>
      <c r="E297" s="8"/>
      <c r="F297" s="8"/>
      <c r="G297" s="8"/>
      <c r="H297" s="8"/>
      <c r="I297" s="8"/>
      <c r="J297" s="8">
        <f t="shared" si="21"/>
        <v>0</v>
      </c>
      <c r="K297" s="8">
        <f t="shared" si="22"/>
        <v>200</v>
      </c>
    </row>
    <row r="298" spans="1:11" x14ac:dyDescent="0.25">
      <c r="A298" s="13"/>
      <c r="B298" s="6">
        <v>46482</v>
      </c>
      <c r="C298" s="2">
        <v>200</v>
      </c>
      <c r="D298" s="8"/>
      <c r="E298" s="8"/>
      <c r="F298" s="8"/>
      <c r="G298" s="8"/>
      <c r="H298" s="8"/>
      <c r="I298" s="8"/>
      <c r="J298" s="8">
        <f t="shared" si="21"/>
        <v>0</v>
      </c>
      <c r="K298" s="8">
        <f t="shared" si="22"/>
        <v>200</v>
      </c>
    </row>
    <row r="299" spans="1:11" x14ac:dyDescent="0.25">
      <c r="A299" s="13"/>
      <c r="B299" s="6">
        <v>46483</v>
      </c>
      <c r="C299" s="2">
        <v>200</v>
      </c>
      <c r="D299" s="8">
        <v>88</v>
      </c>
      <c r="E299" s="8"/>
      <c r="F299" s="8">
        <v>50</v>
      </c>
      <c r="G299" s="8"/>
      <c r="H299" s="8"/>
      <c r="I299" s="8"/>
      <c r="J299" s="8">
        <f t="shared" si="21"/>
        <v>138</v>
      </c>
      <c r="K299" s="8">
        <f t="shared" si="22"/>
        <v>62</v>
      </c>
    </row>
    <row r="300" spans="1:11" x14ac:dyDescent="0.25">
      <c r="A300" s="13"/>
      <c r="B300" s="6">
        <v>46484</v>
      </c>
      <c r="C300" s="2">
        <v>200</v>
      </c>
      <c r="D300" s="8">
        <v>88</v>
      </c>
      <c r="E300" s="8"/>
      <c r="F300" s="8">
        <v>50</v>
      </c>
      <c r="G300" s="8"/>
      <c r="H300" s="8"/>
      <c r="I300" s="8"/>
      <c r="J300" s="8">
        <f t="shared" si="21"/>
        <v>138</v>
      </c>
      <c r="K300" s="8">
        <f t="shared" si="22"/>
        <v>62</v>
      </c>
    </row>
    <row r="301" spans="1:11" x14ac:dyDescent="0.25">
      <c r="A301" s="13"/>
      <c r="B301" s="6">
        <v>46485</v>
      </c>
      <c r="C301" s="2">
        <v>200</v>
      </c>
      <c r="D301" s="8">
        <v>88</v>
      </c>
      <c r="E301" s="8"/>
      <c r="F301" s="8">
        <v>50</v>
      </c>
      <c r="G301" s="8"/>
      <c r="H301" s="8"/>
      <c r="I301" s="8"/>
      <c r="J301" s="8">
        <f t="shared" si="21"/>
        <v>138</v>
      </c>
      <c r="K301" s="8">
        <f t="shared" si="22"/>
        <v>62</v>
      </c>
    </row>
    <row r="302" spans="1:11" x14ac:dyDescent="0.25">
      <c r="A302" s="13"/>
      <c r="B302" s="6">
        <v>46486</v>
      </c>
      <c r="C302" s="2">
        <v>200</v>
      </c>
      <c r="D302" s="8">
        <v>88</v>
      </c>
      <c r="E302" s="8"/>
      <c r="F302" s="8">
        <v>50</v>
      </c>
      <c r="G302" s="8"/>
      <c r="H302" s="8"/>
      <c r="I302" s="8"/>
      <c r="J302" s="8">
        <f t="shared" si="21"/>
        <v>138</v>
      </c>
      <c r="K302" s="8">
        <f t="shared" si="22"/>
        <v>62</v>
      </c>
    </row>
    <row r="303" spans="1:11" x14ac:dyDescent="0.25">
      <c r="A303" s="13"/>
      <c r="B303" s="6">
        <v>46487</v>
      </c>
      <c r="C303" s="2">
        <v>200</v>
      </c>
      <c r="D303" s="8">
        <v>88</v>
      </c>
      <c r="E303" s="8"/>
      <c r="F303" s="8">
        <v>50</v>
      </c>
      <c r="G303" s="8"/>
      <c r="H303" s="8"/>
      <c r="I303" s="8"/>
      <c r="J303" s="8">
        <f t="shared" si="21"/>
        <v>138</v>
      </c>
      <c r="K303" s="8">
        <f t="shared" si="22"/>
        <v>62</v>
      </c>
    </row>
    <row r="304" spans="1:11" x14ac:dyDescent="0.25">
      <c r="A304" s="13"/>
      <c r="B304" s="6">
        <v>46488</v>
      </c>
      <c r="C304" s="2">
        <v>200</v>
      </c>
      <c r="D304" s="8"/>
      <c r="E304" s="8"/>
      <c r="F304" s="8"/>
      <c r="G304" s="8"/>
      <c r="H304" s="8"/>
      <c r="I304" s="8"/>
      <c r="J304" s="8">
        <f t="shared" si="21"/>
        <v>0</v>
      </c>
      <c r="K304" s="8">
        <f t="shared" si="22"/>
        <v>200</v>
      </c>
    </row>
    <row r="305" spans="1:12" x14ac:dyDescent="0.25">
      <c r="A305" s="13"/>
      <c r="B305" s="6">
        <v>46489</v>
      </c>
      <c r="C305" s="2">
        <v>200</v>
      </c>
      <c r="D305" s="8"/>
      <c r="E305" s="8"/>
      <c r="F305" s="8"/>
      <c r="G305" s="8"/>
      <c r="H305" s="8">
        <v>1000</v>
      </c>
      <c r="I305" s="8"/>
      <c r="J305" s="8">
        <f t="shared" si="21"/>
        <v>1000</v>
      </c>
      <c r="K305" s="8">
        <f t="shared" si="22"/>
        <v>-800</v>
      </c>
    </row>
    <row r="306" spans="1:12" x14ac:dyDescent="0.25">
      <c r="A306" s="13"/>
      <c r="B306" s="6">
        <v>46490</v>
      </c>
      <c r="C306" s="2">
        <v>200</v>
      </c>
      <c r="D306" s="8">
        <v>88</v>
      </c>
      <c r="E306" s="8"/>
      <c r="F306" s="8">
        <v>50</v>
      </c>
      <c r="G306" s="8"/>
      <c r="I306" s="8"/>
      <c r="J306" s="8">
        <f t="shared" si="21"/>
        <v>138</v>
      </c>
      <c r="K306" s="8">
        <f t="shared" si="22"/>
        <v>62</v>
      </c>
    </row>
    <row r="307" spans="1:12" x14ac:dyDescent="0.25">
      <c r="A307" s="13"/>
      <c r="B307" s="6">
        <v>46491</v>
      </c>
      <c r="C307" s="2">
        <v>200</v>
      </c>
      <c r="D307" s="8">
        <v>88</v>
      </c>
      <c r="E307" s="8"/>
      <c r="F307" s="8">
        <v>50</v>
      </c>
      <c r="G307" s="8"/>
      <c r="H307" s="8"/>
      <c r="I307" s="8"/>
      <c r="J307" s="8">
        <f t="shared" si="21"/>
        <v>138</v>
      </c>
      <c r="K307" s="8">
        <f t="shared" si="22"/>
        <v>62</v>
      </c>
    </row>
    <row r="308" spans="1:12" x14ac:dyDescent="0.25">
      <c r="A308" s="13"/>
      <c r="B308" s="6">
        <v>46492</v>
      </c>
      <c r="C308" s="2">
        <v>200</v>
      </c>
      <c r="D308" s="8">
        <v>88</v>
      </c>
      <c r="E308" s="8"/>
      <c r="F308" s="8">
        <v>50</v>
      </c>
      <c r="G308" s="8"/>
      <c r="I308" s="8"/>
      <c r="J308" s="8">
        <f t="shared" si="21"/>
        <v>138</v>
      </c>
      <c r="K308" s="8">
        <f t="shared" si="22"/>
        <v>62</v>
      </c>
    </row>
    <row r="309" spans="1:12" x14ac:dyDescent="0.25">
      <c r="A309" s="13"/>
      <c r="B309" s="6">
        <v>46493</v>
      </c>
      <c r="C309" s="2">
        <v>200</v>
      </c>
      <c r="D309" s="8">
        <v>88</v>
      </c>
      <c r="E309" s="8"/>
      <c r="F309" s="8">
        <v>50</v>
      </c>
      <c r="G309" s="8"/>
      <c r="I309" s="8"/>
      <c r="J309" s="8">
        <f t="shared" si="21"/>
        <v>138</v>
      </c>
      <c r="K309" s="8">
        <f t="shared" si="22"/>
        <v>62</v>
      </c>
    </row>
    <row r="310" spans="1:12" x14ac:dyDescent="0.25">
      <c r="A310" s="13"/>
      <c r="B310" s="6">
        <v>46494</v>
      </c>
      <c r="C310" s="2">
        <v>200</v>
      </c>
      <c r="D310" s="8">
        <v>88</v>
      </c>
      <c r="E310" s="8"/>
      <c r="F310" s="8">
        <v>50</v>
      </c>
      <c r="G310" s="8"/>
      <c r="H310" s="8"/>
      <c r="I310" s="8"/>
      <c r="J310" s="8">
        <f t="shared" si="21"/>
        <v>138</v>
      </c>
      <c r="K310" s="8">
        <f t="shared" si="22"/>
        <v>62</v>
      </c>
    </row>
    <row r="311" spans="1:12" x14ac:dyDescent="0.25">
      <c r="A311" s="13"/>
      <c r="B311" s="6">
        <v>46495</v>
      </c>
      <c r="C311" s="2">
        <v>200</v>
      </c>
      <c r="D311" s="8"/>
      <c r="E311" s="8"/>
      <c r="F311" s="8"/>
      <c r="G311" s="8"/>
      <c r="I311" s="8"/>
      <c r="J311" s="8">
        <f t="shared" si="21"/>
        <v>0</v>
      </c>
      <c r="K311" s="8">
        <f t="shared" si="22"/>
        <v>200</v>
      </c>
    </row>
    <row r="312" spans="1:12" x14ac:dyDescent="0.25">
      <c r="A312" s="13"/>
      <c r="B312" s="6">
        <v>46496</v>
      </c>
      <c r="C312" s="2">
        <v>200</v>
      </c>
      <c r="D312" s="8"/>
      <c r="E312" s="8"/>
      <c r="F312" s="8"/>
      <c r="G312" s="8"/>
      <c r="H312" s="8"/>
      <c r="I312" s="8"/>
      <c r="J312" s="8">
        <f t="shared" si="21"/>
        <v>0</v>
      </c>
      <c r="K312" s="8">
        <f t="shared" si="22"/>
        <v>200</v>
      </c>
    </row>
    <row r="313" spans="1:12" x14ac:dyDescent="0.25">
      <c r="A313" s="13"/>
      <c r="B313" s="6">
        <v>46497</v>
      </c>
      <c r="C313" s="2">
        <v>200</v>
      </c>
      <c r="D313" s="8"/>
      <c r="E313" s="8"/>
      <c r="F313" s="8"/>
      <c r="G313" s="8"/>
      <c r="I313" s="8"/>
      <c r="J313" s="8">
        <f t="shared" si="21"/>
        <v>0</v>
      </c>
      <c r="K313" s="8">
        <f t="shared" si="22"/>
        <v>200</v>
      </c>
    </row>
    <row r="314" spans="1:12" x14ac:dyDescent="0.25">
      <c r="A314" s="13"/>
      <c r="B314" s="6">
        <v>46498</v>
      </c>
      <c r="C314" s="2">
        <v>200</v>
      </c>
      <c r="D314" s="8"/>
      <c r="E314" s="8"/>
      <c r="F314" s="8"/>
      <c r="G314" s="8"/>
      <c r="H314" s="8"/>
      <c r="I314" s="8"/>
      <c r="J314" s="8">
        <f t="shared" si="21"/>
        <v>0</v>
      </c>
      <c r="K314" s="8">
        <f t="shared" si="22"/>
        <v>200</v>
      </c>
      <c r="L314" s="11" t="s">
        <v>43</v>
      </c>
    </row>
    <row r="315" spans="1:12" x14ac:dyDescent="0.25">
      <c r="A315" s="13"/>
      <c r="B315" s="6">
        <v>46499</v>
      </c>
      <c r="C315" s="2">
        <v>200</v>
      </c>
      <c r="D315" s="8"/>
      <c r="E315" s="8"/>
      <c r="F315" s="8"/>
      <c r="G315" s="8"/>
      <c r="I315" s="8"/>
      <c r="J315" s="8">
        <f t="shared" si="21"/>
        <v>0</v>
      </c>
      <c r="K315" s="8">
        <f t="shared" si="22"/>
        <v>200</v>
      </c>
      <c r="L315" s="11"/>
    </row>
    <row r="316" spans="1:12" x14ac:dyDescent="0.25">
      <c r="A316" s="13"/>
      <c r="B316" s="6">
        <v>46500</v>
      </c>
      <c r="C316" s="2">
        <v>200</v>
      </c>
      <c r="D316" s="8"/>
      <c r="E316" s="8"/>
      <c r="F316" s="8"/>
      <c r="G316" s="8"/>
      <c r="H316" s="8"/>
      <c r="I316" s="8"/>
      <c r="J316" s="8">
        <f t="shared" si="21"/>
        <v>0</v>
      </c>
      <c r="K316" s="8">
        <f t="shared" si="22"/>
        <v>200</v>
      </c>
      <c r="L316" s="11"/>
    </row>
    <row r="317" spans="1:12" x14ac:dyDescent="0.25">
      <c r="A317" s="13"/>
      <c r="B317" s="6">
        <v>46501</v>
      </c>
      <c r="C317" s="2">
        <v>200</v>
      </c>
      <c r="D317" s="8"/>
      <c r="E317" s="8"/>
      <c r="F317" s="8"/>
      <c r="G317" s="8"/>
      <c r="H317" s="8"/>
      <c r="I317" s="8"/>
      <c r="J317" s="8">
        <f t="shared" si="21"/>
        <v>0</v>
      </c>
      <c r="K317" s="8">
        <f t="shared" si="22"/>
        <v>200</v>
      </c>
      <c r="L317" s="11"/>
    </row>
    <row r="318" spans="1:12" x14ac:dyDescent="0.25">
      <c r="A318" s="13"/>
      <c r="B318" s="6">
        <v>46502</v>
      </c>
      <c r="C318" s="2">
        <v>200</v>
      </c>
      <c r="D318" s="8"/>
      <c r="E318" s="8"/>
      <c r="F318" s="8"/>
      <c r="G318" s="8"/>
      <c r="H318" s="8"/>
      <c r="I318" s="8"/>
      <c r="J318" s="8">
        <f t="shared" si="21"/>
        <v>0</v>
      </c>
      <c r="K318" s="8">
        <f t="shared" si="22"/>
        <v>200</v>
      </c>
      <c r="L318" s="11"/>
    </row>
    <row r="319" spans="1:12" x14ac:dyDescent="0.25">
      <c r="A319" s="13"/>
      <c r="B319" s="6">
        <v>46503</v>
      </c>
      <c r="C319" s="2">
        <v>200</v>
      </c>
      <c r="D319" s="8"/>
      <c r="E319" s="8"/>
      <c r="F319" s="8"/>
      <c r="G319" s="8"/>
      <c r="H319" s="8"/>
      <c r="I319" s="8"/>
      <c r="J319" s="8">
        <f t="shared" si="21"/>
        <v>0</v>
      </c>
      <c r="K319" s="8">
        <f t="shared" si="22"/>
        <v>200</v>
      </c>
      <c r="L319" s="11"/>
    </row>
    <row r="320" spans="1:12" x14ac:dyDescent="0.25">
      <c r="A320" s="13"/>
      <c r="B320" s="6">
        <v>46504</v>
      </c>
      <c r="C320" s="2">
        <v>200</v>
      </c>
      <c r="D320" s="8"/>
      <c r="E320" s="8"/>
      <c r="F320" s="8"/>
      <c r="G320" s="8"/>
      <c r="H320" s="8"/>
      <c r="I320" s="8"/>
      <c r="J320" s="8">
        <f t="shared" si="21"/>
        <v>0</v>
      </c>
      <c r="K320" s="8">
        <f t="shared" si="22"/>
        <v>200</v>
      </c>
      <c r="L320" s="11"/>
    </row>
    <row r="321" spans="1:12" x14ac:dyDescent="0.25">
      <c r="A321" s="13"/>
      <c r="B321" s="6">
        <v>46505</v>
      </c>
      <c r="C321" s="2">
        <v>200</v>
      </c>
      <c r="D321" s="8"/>
      <c r="E321" s="8"/>
      <c r="F321" s="8"/>
      <c r="G321" s="8"/>
      <c r="H321" s="8"/>
      <c r="I321" s="8"/>
      <c r="J321" s="8">
        <f t="shared" si="21"/>
        <v>0</v>
      </c>
      <c r="K321" s="8">
        <f t="shared" si="22"/>
        <v>200</v>
      </c>
      <c r="L321" s="11"/>
    </row>
    <row r="322" spans="1:12" x14ac:dyDescent="0.25">
      <c r="A322" s="13"/>
      <c r="B322" s="6">
        <v>46506</v>
      </c>
      <c r="C322" s="2">
        <v>200</v>
      </c>
      <c r="D322" s="8"/>
      <c r="E322" s="8"/>
      <c r="F322" s="8"/>
      <c r="G322" s="8"/>
      <c r="H322" s="8"/>
      <c r="I322" s="8"/>
      <c r="J322" s="8">
        <f t="shared" si="21"/>
        <v>0</v>
      </c>
      <c r="K322" s="8">
        <f t="shared" si="22"/>
        <v>200</v>
      </c>
      <c r="L322" s="11"/>
    </row>
    <row r="323" spans="1:12" x14ac:dyDescent="0.25">
      <c r="A323" s="13"/>
      <c r="B323" s="6">
        <v>46507</v>
      </c>
      <c r="C323" s="2">
        <v>200</v>
      </c>
      <c r="D323" s="8"/>
      <c r="E323" s="8"/>
      <c r="F323" s="8"/>
      <c r="G323" s="8"/>
      <c r="H323" s="8"/>
      <c r="I323" s="8"/>
      <c r="J323" s="8">
        <f t="shared" si="21"/>
        <v>0</v>
      </c>
      <c r="K323" s="8">
        <f t="shared" si="22"/>
        <v>200</v>
      </c>
      <c r="L323" s="11"/>
    </row>
    <row r="324" spans="1:12" x14ac:dyDescent="0.25">
      <c r="A324" s="9"/>
      <c r="C324" s="2">
        <f>SUM(C294:C323)</f>
        <v>6000</v>
      </c>
      <c r="D324" s="2">
        <f>SUM(D294:D323)</f>
        <v>1144</v>
      </c>
      <c r="E324" s="2">
        <f ca="1">SUM(E278:E327)</f>
        <v>0</v>
      </c>
      <c r="F324" s="2">
        <f>SUM(F294:F323)</f>
        <v>650</v>
      </c>
      <c r="G324" s="2">
        <f ca="1">SUM(G278:G327)</f>
        <v>0</v>
      </c>
      <c r="H324" s="2">
        <f ca="1">SUM(H298:H325)</f>
        <v>1000</v>
      </c>
      <c r="I324" s="2">
        <f ca="1">SUM(I278:I327)</f>
        <v>0</v>
      </c>
      <c r="J324" s="2">
        <f>SUM(J294:J323)</f>
        <v>2794</v>
      </c>
      <c r="K324" s="8">
        <f>SUM(K294:K323)</f>
        <v>3206</v>
      </c>
    </row>
    <row r="325" spans="1:12" ht="15.75" x14ac:dyDescent="0.25">
      <c r="A325" s="4" t="s">
        <v>34</v>
      </c>
      <c r="B325" s="5" t="s">
        <v>36</v>
      </c>
      <c r="C325" s="5" t="s">
        <v>37</v>
      </c>
      <c r="D325" s="5" t="s">
        <v>19</v>
      </c>
      <c r="E325" s="5" t="s">
        <v>4</v>
      </c>
      <c r="F325" s="5" t="s">
        <v>5</v>
      </c>
      <c r="G325" s="5" t="s">
        <v>16</v>
      </c>
      <c r="H325" s="5" t="s">
        <v>6</v>
      </c>
      <c r="I325" s="5" t="s">
        <v>8</v>
      </c>
      <c r="J325" s="5" t="s">
        <v>33</v>
      </c>
      <c r="K325" s="5" t="s">
        <v>22</v>
      </c>
    </row>
    <row r="326" spans="1:12" ht="15" customHeight="1" x14ac:dyDescent="0.25">
      <c r="A326" s="13" t="s">
        <v>49</v>
      </c>
      <c r="B326" s="6">
        <v>46508</v>
      </c>
      <c r="C326" s="2">
        <v>200</v>
      </c>
      <c r="D326" s="8"/>
      <c r="E326" s="8"/>
      <c r="F326" s="8"/>
      <c r="G326" s="8"/>
      <c r="H326" s="8"/>
      <c r="I326" s="8"/>
      <c r="J326" s="8">
        <f t="shared" ref="J326:J356" si="23">SUM(D326:I326)</f>
        <v>0</v>
      </c>
      <c r="K326" s="8">
        <f t="shared" ref="K326:K356" si="24">SUM(C326-J326)</f>
        <v>200</v>
      </c>
      <c r="L326" s="12" t="s">
        <v>51</v>
      </c>
    </row>
    <row r="327" spans="1:12" ht="15" customHeight="1" x14ac:dyDescent="0.25">
      <c r="A327" s="13"/>
      <c r="B327" s="6">
        <v>46509</v>
      </c>
      <c r="C327" s="2">
        <v>200</v>
      </c>
      <c r="D327" s="8"/>
      <c r="E327" s="8"/>
      <c r="F327" s="8"/>
      <c r="G327" s="8"/>
      <c r="H327" s="8"/>
      <c r="I327" s="8"/>
      <c r="J327" s="8">
        <f t="shared" si="23"/>
        <v>0</v>
      </c>
      <c r="K327" s="8">
        <f t="shared" si="24"/>
        <v>200</v>
      </c>
      <c r="L327" s="12"/>
    </row>
    <row r="328" spans="1:12" x14ac:dyDescent="0.25">
      <c r="A328" s="13"/>
      <c r="B328" s="6">
        <v>46510</v>
      </c>
      <c r="C328" s="2">
        <v>200</v>
      </c>
      <c r="D328" s="8"/>
      <c r="E328" s="8"/>
      <c r="F328" s="8"/>
      <c r="G328" s="8"/>
      <c r="H328" s="8"/>
      <c r="I328" s="8"/>
      <c r="J328" s="8">
        <f t="shared" si="23"/>
        <v>0</v>
      </c>
      <c r="K328" s="8">
        <f t="shared" si="24"/>
        <v>200</v>
      </c>
      <c r="L328" s="12"/>
    </row>
    <row r="329" spans="1:12" x14ac:dyDescent="0.25">
      <c r="A329" s="13"/>
      <c r="B329" s="6">
        <v>46511</v>
      </c>
      <c r="C329" s="2">
        <v>200</v>
      </c>
      <c r="D329" s="8"/>
      <c r="E329" s="8"/>
      <c r="F329" s="8"/>
      <c r="G329" s="8"/>
      <c r="H329" s="8"/>
      <c r="I329" s="8"/>
      <c r="J329" s="8">
        <f t="shared" si="23"/>
        <v>0</v>
      </c>
      <c r="K329" s="8">
        <f t="shared" si="24"/>
        <v>200</v>
      </c>
      <c r="L329" s="12"/>
    </row>
    <row r="330" spans="1:12" x14ac:dyDescent="0.25">
      <c r="A330" s="13"/>
      <c r="B330" s="6">
        <v>46512</v>
      </c>
      <c r="C330" s="2">
        <v>200</v>
      </c>
      <c r="D330" s="8"/>
      <c r="E330" s="8"/>
      <c r="F330" s="8"/>
      <c r="G330" s="8"/>
      <c r="H330" s="8"/>
      <c r="I330" s="8"/>
      <c r="J330" s="8">
        <f t="shared" si="23"/>
        <v>0</v>
      </c>
      <c r="K330" s="8">
        <f t="shared" si="24"/>
        <v>200</v>
      </c>
      <c r="L330" s="12"/>
    </row>
    <row r="331" spans="1:12" x14ac:dyDescent="0.25">
      <c r="A331" s="13"/>
      <c r="B331" s="6">
        <v>46513</v>
      </c>
      <c r="C331" s="2">
        <v>200</v>
      </c>
      <c r="D331" s="8"/>
      <c r="E331" s="8"/>
      <c r="F331" s="8"/>
      <c r="G331" s="8"/>
      <c r="H331" s="8"/>
      <c r="I331" s="8"/>
      <c r="J331" s="8">
        <f t="shared" si="23"/>
        <v>0</v>
      </c>
      <c r="K331" s="8">
        <f t="shared" si="24"/>
        <v>200</v>
      </c>
      <c r="L331" s="12"/>
    </row>
    <row r="332" spans="1:12" x14ac:dyDescent="0.25">
      <c r="A332" s="13"/>
      <c r="B332" s="6">
        <v>46514</v>
      </c>
      <c r="C332" s="2">
        <v>200</v>
      </c>
      <c r="D332" s="8"/>
      <c r="E332" s="8"/>
      <c r="F332" s="8"/>
      <c r="G332" s="8"/>
      <c r="H332" s="8"/>
      <c r="I332" s="8"/>
      <c r="J332" s="8">
        <f t="shared" si="23"/>
        <v>0</v>
      </c>
      <c r="K332" s="8">
        <f t="shared" si="24"/>
        <v>200</v>
      </c>
      <c r="L332" s="12"/>
    </row>
    <row r="333" spans="1:12" x14ac:dyDescent="0.25">
      <c r="A333" s="13"/>
      <c r="B333" s="6">
        <v>46515</v>
      </c>
      <c r="C333" s="2">
        <v>200</v>
      </c>
      <c r="D333" s="8"/>
      <c r="E333" s="8"/>
      <c r="F333" s="8"/>
      <c r="G333" s="8"/>
      <c r="H333" s="8"/>
      <c r="I333" s="8"/>
      <c r="J333" s="8">
        <f t="shared" si="23"/>
        <v>0</v>
      </c>
      <c r="K333" s="8">
        <f t="shared" si="24"/>
        <v>200</v>
      </c>
      <c r="L333" s="12"/>
    </row>
    <row r="334" spans="1:12" x14ac:dyDescent="0.25">
      <c r="A334" s="13"/>
      <c r="B334" s="6">
        <v>46516</v>
      </c>
      <c r="C334" s="2">
        <v>200</v>
      </c>
      <c r="D334" s="8"/>
      <c r="E334" s="8"/>
      <c r="F334" s="8"/>
      <c r="G334" s="8"/>
      <c r="H334" s="8"/>
      <c r="I334" s="8"/>
      <c r="J334" s="8">
        <f t="shared" si="23"/>
        <v>0</v>
      </c>
      <c r="K334" s="8">
        <f t="shared" si="24"/>
        <v>200</v>
      </c>
      <c r="L334" s="12"/>
    </row>
    <row r="335" spans="1:12" x14ac:dyDescent="0.25">
      <c r="A335" s="13"/>
      <c r="B335" s="6">
        <v>46517</v>
      </c>
      <c r="C335" s="2">
        <v>200</v>
      </c>
      <c r="D335" s="8"/>
      <c r="E335" s="8"/>
      <c r="F335" s="8"/>
      <c r="G335" s="8"/>
      <c r="H335" s="8"/>
      <c r="I335" s="8"/>
      <c r="J335" s="8">
        <f t="shared" si="23"/>
        <v>0</v>
      </c>
      <c r="K335" s="8">
        <f t="shared" si="24"/>
        <v>200</v>
      </c>
      <c r="L335" s="12"/>
    </row>
    <row r="336" spans="1:12" x14ac:dyDescent="0.25">
      <c r="A336" s="13"/>
      <c r="B336" s="6">
        <v>46518</v>
      </c>
      <c r="C336" s="2">
        <v>200</v>
      </c>
      <c r="D336" s="8"/>
      <c r="E336" s="8"/>
      <c r="F336" s="8"/>
      <c r="G336" s="8"/>
      <c r="H336" s="8"/>
      <c r="I336" s="8"/>
      <c r="J336" s="8">
        <f t="shared" si="23"/>
        <v>0</v>
      </c>
      <c r="K336" s="8">
        <f t="shared" si="24"/>
        <v>200</v>
      </c>
      <c r="L336" s="12"/>
    </row>
    <row r="337" spans="1:12" x14ac:dyDescent="0.25">
      <c r="A337" s="13"/>
      <c r="B337" s="6">
        <v>46519</v>
      </c>
      <c r="C337" s="2">
        <v>200</v>
      </c>
      <c r="D337" s="8"/>
      <c r="E337" s="8"/>
      <c r="F337" s="8"/>
      <c r="G337" s="8"/>
      <c r="H337" s="8"/>
      <c r="I337" s="8"/>
      <c r="J337" s="8">
        <f t="shared" si="23"/>
        <v>0</v>
      </c>
      <c r="K337" s="8">
        <f t="shared" si="24"/>
        <v>200</v>
      </c>
      <c r="L337" s="12"/>
    </row>
    <row r="338" spans="1:12" x14ac:dyDescent="0.25">
      <c r="A338" s="13"/>
      <c r="B338" s="6">
        <v>46520</v>
      </c>
      <c r="C338" s="2">
        <v>200</v>
      </c>
      <c r="D338" s="8"/>
      <c r="E338" s="8"/>
      <c r="F338" s="8"/>
      <c r="G338" s="8"/>
      <c r="H338" s="8"/>
      <c r="I338" s="8"/>
      <c r="J338" s="8">
        <f t="shared" si="23"/>
        <v>0</v>
      </c>
      <c r="K338" s="8">
        <f t="shared" si="24"/>
        <v>200</v>
      </c>
      <c r="L338" s="12"/>
    </row>
    <row r="339" spans="1:12" x14ac:dyDescent="0.25">
      <c r="A339" s="13"/>
      <c r="B339" s="6">
        <v>46521</v>
      </c>
      <c r="C339" s="2">
        <v>200</v>
      </c>
      <c r="D339" s="8"/>
      <c r="E339" s="8"/>
      <c r="F339" s="8"/>
      <c r="G339" s="8"/>
      <c r="I339" s="8"/>
      <c r="J339" s="8">
        <f t="shared" si="23"/>
        <v>0</v>
      </c>
      <c r="K339" s="8">
        <f t="shared" si="24"/>
        <v>200</v>
      </c>
      <c r="L339" s="12"/>
    </row>
    <row r="340" spans="1:12" x14ac:dyDescent="0.25">
      <c r="A340" s="13"/>
      <c r="B340" s="6">
        <v>46522</v>
      </c>
      <c r="C340" s="2">
        <v>200</v>
      </c>
      <c r="D340" s="8"/>
      <c r="E340" s="8"/>
      <c r="F340" s="8"/>
      <c r="G340" s="8"/>
      <c r="H340" s="8"/>
      <c r="I340" s="8"/>
      <c r="J340" s="8">
        <f t="shared" si="23"/>
        <v>0</v>
      </c>
      <c r="K340" s="8">
        <f t="shared" si="24"/>
        <v>200</v>
      </c>
      <c r="L340" s="12"/>
    </row>
    <row r="341" spans="1:12" x14ac:dyDescent="0.25">
      <c r="A341" s="13"/>
      <c r="B341" s="6">
        <v>46523</v>
      </c>
      <c r="C341" s="2">
        <v>200</v>
      </c>
      <c r="D341" s="8"/>
      <c r="E341" s="8"/>
      <c r="F341" s="8"/>
      <c r="G341" s="8"/>
      <c r="I341" s="8"/>
      <c r="J341" s="8">
        <f t="shared" si="23"/>
        <v>0</v>
      </c>
      <c r="K341" s="8">
        <f t="shared" si="24"/>
        <v>200</v>
      </c>
      <c r="L341" s="12"/>
    </row>
    <row r="342" spans="1:12" x14ac:dyDescent="0.25">
      <c r="A342" s="13"/>
      <c r="B342" s="6">
        <v>46524</v>
      </c>
      <c r="C342" s="2">
        <v>200</v>
      </c>
      <c r="D342" s="8"/>
      <c r="E342" s="8"/>
      <c r="F342" s="8"/>
      <c r="G342" s="8"/>
      <c r="I342" s="8"/>
      <c r="J342" s="8">
        <f t="shared" si="23"/>
        <v>0</v>
      </c>
      <c r="K342" s="8">
        <f t="shared" si="24"/>
        <v>200</v>
      </c>
      <c r="L342" s="12"/>
    </row>
    <row r="343" spans="1:12" x14ac:dyDescent="0.25">
      <c r="A343" s="13"/>
      <c r="B343" s="6">
        <v>46525</v>
      </c>
      <c r="C343" s="2">
        <v>200</v>
      </c>
      <c r="D343" s="8"/>
      <c r="E343" s="8"/>
      <c r="F343" s="8"/>
      <c r="G343" s="8"/>
      <c r="H343" s="8"/>
      <c r="I343" s="8"/>
      <c r="J343" s="8">
        <f t="shared" si="23"/>
        <v>0</v>
      </c>
      <c r="K343" s="8">
        <f t="shared" si="24"/>
        <v>200</v>
      </c>
      <c r="L343" s="12"/>
    </row>
    <row r="344" spans="1:12" x14ac:dyDescent="0.25">
      <c r="A344" s="13"/>
      <c r="B344" s="6">
        <v>46526</v>
      </c>
      <c r="C344" s="2">
        <v>200</v>
      </c>
      <c r="D344" s="8"/>
      <c r="E344" s="8"/>
      <c r="F344" s="8"/>
      <c r="G344" s="8"/>
      <c r="I344" s="8"/>
      <c r="J344" s="8">
        <f t="shared" si="23"/>
        <v>0</v>
      </c>
      <c r="K344" s="8">
        <f t="shared" si="24"/>
        <v>200</v>
      </c>
      <c r="L344" s="12"/>
    </row>
    <row r="345" spans="1:12" x14ac:dyDescent="0.25">
      <c r="A345" s="13"/>
      <c r="B345" s="6">
        <v>46527</v>
      </c>
      <c r="C345" s="2">
        <v>200</v>
      </c>
      <c r="D345" s="8"/>
      <c r="E345" s="8"/>
      <c r="F345" s="8"/>
      <c r="G345" s="8"/>
      <c r="H345" s="8"/>
      <c r="I345" s="8"/>
      <c r="J345" s="8">
        <f t="shared" si="23"/>
        <v>0</v>
      </c>
      <c r="K345" s="8">
        <f t="shared" si="24"/>
        <v>200</v>
      </c>
      <c r="L345" s="12"/>
    </row>
    <row r="346" spans="1:12" x14ac:dyDescent="0.25">
      <c r="A346" s="13"/>
      <c r="B346" s="6">
        <v>46528</v>
      </c>
      <c r="C346" s="2">
        <v>200</v>
      </c>
      <c r="D346" s="8"/>
      <c r="E346" s="8"/>
      <c r="F346" s="8"/>
      <c r="G346" s="8"/>
      <c r="H346" s="8"/>
      <c r="I346" s="8"/>
      <c r="J346" s="8">
        <f t="shared" si="23"/>
        <v>0</v>
      </c>
      <c r="K346" s="8">
        <f t="shared" si="24"/>
        <v>200</v>
      </c>
      <c r="L346" s="12"/>
    </row>
    <row r="347" spans="1:12" x14ac:dyDescent="0.25">
      <c r="A347" s="13"/>
      <c r="B347" s="6">
        <v>46529</v>
      </c>
      <c r="C347" s="2">
        <v>200</v>
      </c>
      <c r="D347" s="8"/>
      <c r="E347" s="8"/>
      <c r="F347" s="8"/>
      <c r="G347" s="8"/>
      <c r="H347" s="8"/>
      <c r="I347" s="8"/>
      <c r="J347" s="8">
        <f t="shared" si="23"/>
        <v>0</v>
      </c>
      <c r="K347" s="8">
        <f t="shared" si="24"/>
        <v>200</v>
      </c>
      <c r="L347" s="12"/>
    </row>
    <row r="348" spans="1:12" x14ac:dyDescent="0.25">
      <c r="A348" s="13"/>
      <c r="B348" s="6">
        <v>46530</v>
      </c>
      <c r="C348" s="2">
        <v>200</v>
      </c>
      <c r="D348" s="8"/>
      <c r="E348" s="8"/>
      <c r="F348" s="8"/>
      <c r="G348" s="8"/>
      <c r="I348" s="8"/>
      <c r="J348" s="8">
        <f t="shared" si="23"/>
        <v>0</v>
      </c>
      <c r="K348" s="8">
        <f t="shared" si="24"/>
        <v>200</v>
      </c>
      <c r="L348" s="12"/>
    </row>
    <row r="349" spans="1:12" x14ac:dyDescent="0.25">
      <c r="A349" s="13"/>
      <c r="B349" s="6">
        <v>46531</v>
      </c>
      <c r="C349" s="2">
        <v>200</v>
      </c>
      <c r="D349" s="8"/>
      <c r="E349" s="8"/>
      <c r="F349" s="8"/>
      <c r="G349" s="8"/>
      <c r="H349" s="8"/>
      <c r="I349" s="8"/>
      <c r="J349" s="8">
        <f t="shared" si="23"/>
        <v>0</v>
      </c>
      <c r="K349" s="8">
        <f t="shared" si="24"/>
        <v>200</v>
      </c>
      <c r="L349" s="12"/>
    </row>
    <row r="350" spans="1:12" x14ac:dyDescent="0.25">
      <c r="A350" s="13"/>
      <c r="B350" s="6">
        <v>46532</v>
      </c>
      <c r="C350" s="2">
        <v>200</v>
      </c>
      <c r="D350" s="8"/>
      <c r="E350" s="8"/>
      <c r="F350" s="8"/>
      <c r="G350" s="8"/>
      <c r="H350" s="8"/>
      <c r="I350" s="8"/>
      <c r="J350" s="8">
        <f t="shared" si="23"/>
        <v>0</v>
      </c>
      <c r="K350" s="8">
        <f t="shared" si="24"/>
        <v>200</v>
      </c>
      <c r="L350" s="12"/>
    </row>
    <row r="351" spans="1:12" x14ac:dyDescent="0.25">
      <c r="A351" s="13"/>
      <c r="B351" s="6">
        <v>46533</v>
      </c>
      <c r="C351" s="2">
        <v>200</v>
      </c>
      <c r="D351" s="8"/>
      <c r="E351" s="8"/>
      <c r="F351" s="8"/>
      <c r="G351" s="8"/>
      <c r="H351" s="8"/>
      <c r="I351" s="8"/>
      <c r="J351" s="8">
        <f t="shared" si="23"/>
        <v>0</v>
      </c>
      <c r="K351" s="8">
        <f t="shared" si="24"/>
        <v>200</v>
      </c>
      <c r="L351" s="12"/>
    </row>
    <row r="352" spans="1:12" x14ac:dyDescent="0.25">
      <c r="A352" s="13"/>
      <c r="B352" s="6">
        <v>46534</v>
      </c>
      <c r="C352" s="2">
        <v>200</v>
      </c>
      <c r="D352" s="8"/>
      <c r="E352" s="8"/>
      <c r="F352" s="8"/>
      <c r="G352" s="8"/>
      <c r="H352" s="8"/>
      <c r="I352" s="8"/>
      <c r="J352" s="8">
        <f t="shared" si="23"/>
        <v>0</v>
      </c>
      <c r="K352" s="8">
        <f t="shared" si="24"/>
        <v>200</v>
      </c>
      <c r="L352" s="12"/>
    </row>
    <row r="353" spans="1:12" x14ac:dyDescent="0.25">
      <c r="A353" s="13"/>
      <c r="B353" s="6">
        <v>46535</v>
      </c>
      <c r="C353" s="2">
        <v>200</v>
      </c>
      <c r="D353" s="8"/>
      <c r="E353" s="8"/>
      <c r="F353" s="8"/>
      <c r="G353" s="8"/>
      <c r="H353" s="8"/>
      <c r="I353" s="8"/>
      <c r="J353" s="8">
        <f t="shared" si="23"/>
        <v>0</v>
      </c>
      <c r="K353" s="8">
        <f t="shared" si="24"/>
        <v>200</v>
      </c>
      <c r="L353" s="12"/>
    </row>
    <row r="354" spans="1:12" x14ac:dyDescent="0.25">
      <c r="A354" s="13"/>
      <c r="B354" s="6">
        <v>46536</v>
      </c>
      <c r="C354" s="2">
        <v>200</v>
      </c>
      <c r="D354" s="8"/>
      <c r="E354" s="8"/>
      <c r="F354" s="8"/>
      <c r="G354" s="8"/>
      <c r="H354" s="8"/>
      <c r="I354" s="8"/>
      <c r="J354" s="8">
        <f t="shared" si="23"/>
        <v>0</v>
      </c>
      <c r="K354" s="8">
        <f t="shared" si="24"/>
        <v>200</v>
      </c>
      <c r="L354" s="12"/>
    </row>
    <row r="355" spans="1:12" x14ac:dyDescent="0.25">
      <c r="A355" s="13"/>
      <c r="B355" s="6">
        <v>46537</v>
      </c>
      <c r="C355" s="2">
        <v>200</v>
      </c>
      <c r="D355" s="8"/>
      <c r="E355" s="8"/>
      <c r="F355" s="8"/>
      <c r="G355" s="8"/>
      <c r="H355" s="8"/>
      <c r="I355" s="8"/>
      <c r="J355" s="8">
        <f t="shared" si="23"/>
        <v>0</v>
      </c>
      <c r="K355" s="8">
        <f t="shared" si="24"/>
        <v>200</v>
      </c>
      <c r="L355" s="12"/>
    </row>
    <row r="356" spans="1:12" x14ac:dyDescent="0.25">
      <c r="A356" s="13"/>
      <c r="B356" s="6">
        <v>46538</v>
      </c>
      <c r="C356" s="2">
        <v>200</v>
      </c>
      <c r="D356" s="8"/>
      <c r="E356" s="8"/>
      <c r="F356" s="8"/>
      <c r="G356" s="8"/>
      <c r="H356" s="8"/>
      <c r="I356" s="8"/>
      <c r="J356" s="8">
        <f t="shared" si="23"/>
        <v>0</v>
      </c>
      <c r="K356" s="8">
        <f t="shared" si="24"/>
        <v>200</v>
      </c>
      <c r="L356" s="12"/>
    </row>
    <row r="357" spans="1:12" x14ac:dyDescent="0.25">
      <c r="A357" s="9"/>
      <c r="B357" s="6"/>
      <c r="C357" s="2">
        <f t="shared" ref="C357:K357" si="25">SUM(C326:C356)</f>
        <v>6200</v>
      </c>
      <c r="D357" s="2">
        <f t="shared" si="25"/>
        <v>0</v>
      </c>
      <c r="E357" s="2">
        <f t="shared" si="25"/>
        <v>0</v>
      </c>
      <c r="F357" s="2">
        <f t="shared" si="25"/>
        <v>0</v>
      </c>
      <c r="G357" s="2">
        <f t="shared" si="25"/>
        <v>0</v>
      </c>
      <c r="H357" s="2">
        <f t="shared" si="25"/>
        <v>0</v>
      </c>
      <c r="I357" s="2">
        <f t="shared" si="25"/>
        <v>0</v>
      </c>
      <c r="J357" s="2">
        <f t="shared" si="25"/>
        <v>0</v>
      </c>
      <c r="K357" s="8">
        <f t="shared" si="25"/>
        <v>6200</v>
      </c>
      <c r="L357" s="12"/>
    </row>
    <row r="358" spans="1:12" ht="15.75" x14ac:dyDescent="0.25">
      <c r="A358" s="4" t="s">
        <v>34</v>
      </c>
      <c r="B358" s="5" t="s">
        <v>36</v>
      </c>
      <c r="C358" s="5" t="s">
        <v>37</v>
      </c>
      <c r="D358" s="5" t="s">
        <v>19</v>
      </c>
      <c r="E358" s="5" t="s">
        <v>4</v>
      </c>
      <c r="F358" s="5" t="s">
        <v>5</v>
      </c>
      <c r="G358" s="5" t="s">
        <v>16</v>
      </c>
      <c r="H358" s="5" t="s">
        <v>6</v>
      </c>
      <c r="I358" s="5" t="s">
        <v>8</v>
      </c>
      <c r="J358" s="5" t="s">
        <v>33</v>
      </c>
      <c r="K358" s="5" t="s">
        <v>22</v>
      </c>
      <c r="L358" s="12"/>
    </row>
    <row r="359" spans="1:12" ht="15" customHeight="1" x14ac:dyDescent="0.25">
      <c r="A359" s="13" t="s">
        <v>50</v>
      </c>
      <c r="B359" s="6">
        <v>46539</v>
      </c>
      <c r="C359" s="2">
        <v>200</v>
      </c>
      <c r="D359" s="8"/>
      <c r="E359" s="8"/>
      <c r="F359" s="8"/>
      <c r="G359" s="8"/>
      <c r="H359" s="8"/>
      <c r="I359" s="8"/>
      <c r="J359" s="8">
        <f t="shared" ref="J359:J388" si="26">SUM(D359:I359)</f>
        <v>0</v>
      </c>
      <c r="K359" s="8">
        <f t="shared" ref="K359:K388" si="27">SUM(C359-J359)</f>
        <v>200</v>
      </c>
      <c r="L359" s="12"/>
    </row>
    <row r="360" spans="1:12" x14ac:dyDescent="0.25">
      <c r="A360" s="13"/>
      <c r="B360" s="6">
        <v>46540</v>
      </c>
      <c r="C360" s="2">
        <v>200</v>
      </c>
      <c r="D360" s="8"/>
      <c r="E360" s="8"/>
      <c r="F360" s="8"/>
      <c r="G360" s="8"/>
      <c r="H360" s="8"/>
      <c r="I360" s="8"/>
      <c r="J360" s="8">
        <f t="shared" si="26"/>
        <v>0</v>
      </c>
      <c r="K360" s="8">
        <f t="shared" si="27"/>
        <v>200</v>
      </c>
      <c r="L360" s="12"/>
    </row>
    <row r="361" spans="1:12" x14ac:dyDescent="0.25">
      <c r="A361" s="13"/>
      <c r="B361" s="6">
        <v>46541</v>
      </c>
      <c r="C361" s="2">
        <v>200</v>
      </c>
      <c r="D361" s="8"/>
      <c r="E361" s="8"/>
      <c r="F361" s="8"/>
      <c r="G361" s="8"/>
      <c r="H361" s="8"/>
      <c r="I361" s="8"/>
      <c r="J361" s="8">
        <f t="shared" si="26"/>
        <v>0</v>
      </c>
      <c r="K361" s="8">
        <f t="shared" si="27"/>
        <v>200</v>
      </c>
      <c r="L361" s="12"/>
    </row>
    <row r="362" spans="1:12" ht="15" customHeight="1" x14ac:dyDescent="0.25">
      <c r="A362" s="13"/>
      <c r="B362" s="6">
        <v>46542</v>
      </c>
      <c r="C362" s="2">
        <v>200</v>
      </c>
      <c r="D362" s="8"/>
      <c r="E362" s="8"/>
      <c r="F362" s="8"/>
      <c r="G362" s="8"/>
      <c r="H362" s="8"/>
      <c r="I362" s="8"/>
      <c r="J362" s="8">
        <f t="shared" si="26"/>
        <v>0</v>
      </c>
      <c r="K362" s="8">
        <f t="shared" si="27"/>
        <v>200</v>
      </c>
      <c r="L362" s="12"/>
    </row>
    <row r="363" spans="1:12" x14ac:dyDescent="0.25">
      <c r="A363" s="13"/>
      <c r="B363" s="6">
        <v>46543</v>
      </c>
      <c r="C363" s="2">
        <v>200</v>
      </c>
      <c r="D363" s="8"/>
      <c r="E363" s="8"/>
      <c r="F363" s="8"/>
      <c r="G363" s="8"/>
      <c r="H363" s="8"/>
      <c r="I363" s="8"/>
      <c r="J363" s="8">
        <f t="shared" si="26"/>
        <v>0</v>
      </c>
      <c r="K363" s="8">
        <f t="shared" si="27"/>
        <v>200</v>
      </c>
      <c r="L363" s="12"/>
    </row>
    <row r="364" spans="1:12" x14ac:dyDescent="0.25">
      <c r="A364" s="13"/>
      <c r="B364" s="6">
        <v>46544</v>
      </c>
      <c r="C364" s="2">
        <v>200</v>
      </c>
      <c r="D364" s="8"/>
      <c r="E364" s="8"/>
      <c r="F364" s="8"/>
      <c r="G364" s="8"/>
      <c r="H364" s="8"/>
      <c r="I364" s="8"/>
      <c r="J364" s="8">
        <f t="shared" si="26"/>
        <v>0</v>
      </c>
      <c r="K364" s="8">
        <f t="shared" si="27"/>
        <v>200</v>
      </c>
      <c r="L364" s="12"/>
    </row>
    <row r="365" spans="1:12" x14ac:dyDescent="0.25">
      <c r="A365" s="13"/>
      <c r="B365" s="6">
        <v>46545</v>
      </c>
      <c r="C365" s="2">
        <v>200</v>
      </c>
      <c r="D365" s="8"/>
      <c r="E365" s="8"/>
      <c r="F365" s="8"/>
      <c r="G365" s="8"/>
      <c r="H365" s="8"/>
      <c r="I365" s="8"/>
      <c r="J365" s="8">
        <f t="shared" si="26"/>
        <v>0</v>
      </c>
      <c r="K365" s="8">
        <f t="shared" si="27"/>
        <v>200</v>
      </c>
      <c r="L365" s="12"/>
    </row>
    <row r="366" spans="1:12" x14ac:dyDescent="0.25">
      <c r="A366" s="13"/>
      <c r="B366" s="6">
        <v>46546</v>
      </c>
      <c r="C366" s="2">
        <v>200</v>
      </c>
      <c r="D366" s="8"/>
      <c r="E366" s="8"/>
      <c r="F366" s="8"/>
      <c r="G366" s="8"/>
      <c r="H366" s="8"/>
      <c r="I366" s="8"/>
      <c r="J366" s="8">
        <f t="shared" si="26"/>
        <v>0</v>
      </c>
      <c r="K366" s="8">
        <f t="shared" si="27"/>
        <v>200</v>
      </c>
      <c r="L366" s="12"/>
    </row>
    <row r="367" spans="1:12" x14ac:dyDescent="0.25">
      <c r="A367" s="13"/>
      <c r="B367" s="6">
        <v>46547</v>
      </c>
      <c r="C367" s="2">
        <v>200</v>
      </c>
      <c r="D367" s="8"/>
      <c r="E367" s="8"/>
      <c r="F367" s="8"/>
      <c r="G367" s="8"/>
      <c r="H367" s="8"/>
      <c r="I367" s="8"/>
      <c r="J367" s="8">
        <f t="shared" si="26"/>
        <v>0</v>
      </c>
      <c r="K367" s="8">
        <f t="shared" si="27"/>
        <v>200</v>
      </c>
      <c r="L367" s="12"/>
    </row>
    <row r="368" spans="1:12" x14ac:dyDescent="0.25">
      <c r="A368" s="13"/>
      <c r="B368" s="6">
        <v>46548</v>
      </c>
      <c r="C368" s="2">
        <v>200</v>
      </c>
      <c r="D368" s="8"/>
      <c r="E368" s="8"/>
      <c r="F368" s="8"/>
      <c r="G368" s="8"/>
      <c r="H368" s="8"/>
      <c r="I368" s="8"/>
      <c r="J368" s="8">
        <f t="shared" si="26"/>
        <v>0</v>
      </c>
      <c r="K368" s="8">
        <f t="shared" si="27"/>
        <v>200</v>
      </c>
      <c r="L368" s="12"/>
    </row>
    <row r="369" spans="1:12" x14ac:dyDescent="0.25">
      <c r="A369" s="13"/>
      <c r="B369" s="6">
        <v>46549</v>
      </c>
      <c r="C369" s="2">
        <v>200</v>
      </c>
      <c r="D369" s="8"/>
      <c r="E369" s="8"/>
      <c r="F369" s="8"/>
      <c r="G369" s="8"/>
      <c r="H369" s="8"/>
      <c r="I369" s="8"/>
      <c r="J369" s="8">
        <f t="shared" si="26"/>
        <v>0</v>
      </c>
      <c r="K369" s="8">
        <f t="shared" si="27"/>
        <v>200</v>
      </c>
      <c r="L369" s="12"/>
    </row>
    <row r="370" spans="1:12" x14ac:dyDescent="0.25">
      <c r="A370" s="13"/>
      <c r="B370" s="6">
        <v>46550</v>
      </c>
      <c r="C370" s="2">
        <v>200</v>
      </c>
      <c r="D370" s="8"/>
      <c r="E370" s="8"/>
      <c r="F370" s="8"/>
      <c r="G370" s="8"/>
      <c r="H370" s="8"/>
      <c r="I370" s="8"/>
      <c r="J370" s="8">
        <f t="shared" si="26"/>
        <v>0</v>
      </c>
      <c r="K370" s="8">
        <f t="shared" si="27"/>
        <v>200</v>
      </c>
      <c r="L370" s="12"/>
    </row>
    <row r="371" spans="1:12" x14ac:dyDescent="0.25">
      <c r="A371" s="13"/>
      <c r="B371" s="6">
        <v>46551</v>
      </c>
      <c r="C371" s="2">
        <v>200</v>
      </c>
      <c r="D371" s="8"/>
      <c r="E371" s="8"/>
      <c r="F371" s="8"/>
      <c r="G371" s="8"/>
      <c r="H371" s="8"/>
      <c r="I371" s="8"/>
      <c r="J371" s="8">
        <f t="shared" si="26"/>
        <v>0</v>
      </c>
      <c r="K371" s="8">
        <f t="shared" si="27"/>
        <v>200</v>
      </c>
      <c r="L371" s="12"/>
    </row>
    <row r="372" spans="1:12" x14ac:dyDescent="0.25">
      <c r="A372" s="13"/>
      <c r="B372" s="6">
        <v>46552</v>
      </c>
      <c r="C372" s="2">
        <v>200</v>
      </c>
      <c r="D372" s="8"/>
      <c r="E372" s="8"/>
      <c r="F372" s="8"/>
      <c r="G372" s="8"/>
      <c r="I372" s="8"/>
      <c r="J372" s="8">
        <f t="shared" si="26"/>
        <v>0</v>
      </c>
      <c r="K372" s="8">
        <f t="shared" si="27"/>
        <v>200</v>
      </c>
      <c r="L372" s="12"/>
    </row>
    <row r="373" spans="1:12" x14ac:dyDescent="0.25">
      <c r="A373" s="13"/>
      <c r="B373" s="6">
        <v>46553</v>
      </c>
      <c r="C373" s="2">
        <v>200</v>
      </c>
      <c r="D373" s="8"/>
      <c r="E373" s="8"/>
      <c r="F373" s="8"/>
      <c r="G373" s="8"/>
      <c r="H373" s="8"/>
      <c r="I373" s="8"/>
      <c r="J373" s="8">
        <f t="shared" si="26"/>
        <v>0</v>
      </c>
      <c r="K373" s="8">
        <f t="shared" si="27"/>
        <v>200</v>
      </c>
      <c r="L373" s="12"/>
    </row>
    <row r="374" spans="1:12" x14ac:dyDescent="0.25">
      <c r="A374" s="13"/>
      <c r="B374" s="6">
        <v>46554</v>
      </c>
      <c r="C374" s="2">
        <v>200</v>
      </c>
      <c r="D374" s="8"/>
      <c r="E374" s="8"/>
      <c r="F374" s="8"/>
      <c r="G374" s="8"/>
      <c r="I374" s="8"/>
      <c r="J374" s="8">
        <f t="shared" si="26"/>
        <v>0</v>
      </c>
      <c r="K374" s="8">
        <f t="shared" si="27"/>
        <v>200</v>
      </c>
      <c r="L374" s="12"/>
    </row>
    <row r="375" spans="1:12" x14ac:dyDescent="0.25">
      <c r="A375" s="13"/>
      <c r="B375" s="6">
        <v>46555</v>
      </c>
      <c r="C375" s="2">
        <v>200</v>
      </c>
      <c r="D375" s="8"/>
      <c r="E375" s="8"/>
      <c r="F375" s="8"/>
      <c r="G375" s="8"/>
      <c r="I375" s="8"/>
      <c r="J375" s="8">
        <f t="shared" si="26"/>
        <v>0</v>
      </c>
      <c r="K375" s="8">
        <f t="shared" si="27"/>
        <v>200</v>
      </c>
      <c r="L375" s="12"/>
    </row>
    <row r="376" spans="1:12" x14ac:dyDescent="0.25">
      <c r="A376" s="13"/>
      <c r="B376" s="6">
        <v>46556</v>
      </c>
      <c r="C376" s="2">
        <v>200</v>
      </c>
      <c r="D376" s="8"/>
      <c r="E376" s="8"/>
      <c r="F376" s="8"/>
      <c r="G376" s="8"/>
      <c r="H376" s="8"/>
      <c r="I376" s="8"/>
      <c r="J376" s="8">
        <f t="shared" si="26"/>
        <v>0</v>
      </c>
      <c r="K376" s="8">
        <f t="shared" si="27"/>
        <v>200</v>
      </c>
      <c r="L376" s="12"/>
    </row>
    <row r="377" spans="1:12" x14ac:dyDescent="0.25">
      <c r="A377" s="13"/>
      <c r="B377" s="6">
        <v>46557</v>
      </c>
      <c r="C377" s="2">
        <v>200</v>
      </c>
      <c r="D377" s="8"/>
      <c r="E377" s="8"/>
      <c r="F377" s="8"/>
      <c r="G377" s="8"/>
      <c r="I377" s="8"/>
      <c r="J377" s="8">
        <f t="shared" si="26"/>
        <v>0</v>
      </c>
      <c r="K377" s="8">
        <f t="shared" si="27"/>
        <v>200</v>
      </c>
      <c r="L377" s="12"/>
    </row>
    <row r="378" spans="1:12" x14ac:dyDescent="0.25">
      <c r="A378" s="13"/>
      <c r="B378" s="6">
        <v>46558</v>
      </c>
      <c r="C378" s="2">
        <v>200</v>
      </c>
      <c r="D378" s="8"/>
      <c r="E378" s="8"/>
      <c r="F378" s="8"/>
      <c r="G378" s="8"/>
      <c r="H378" s="8"/>
      <c r="I378" s="8"/>
      <c r="J378" s="8">
        <f t="shared" si="26"/>
        <v>0</v>
      </c>
      <c r="K378" s="8">
        <f t="shared" si="27"/>
        <v>200</v>
      </c>
      <c r="L378" s="12"/>
    </row>
    <row r="379" spans="1:12" x14ac:dyDescent="0.25">
      <c r="A379" s="13"/>
      <c r="B379" s="6">
        <v>46559</v>
      </c>
      <c r="C379" s="2">
        <v>200</v>
      </c>
      <c r="D379" s="8"/>
      <c r="E379" s="8"/>
      <c r="F379" s="8"/>
      <c r="G379" s="8"/>
      <c r="H379" s="8"/>
      <c r="I379" s="8"/>
      <c r="J379" s="8">
        <f t="shared" si="26"/>
        <v>0</v>
      </c>
      <c r="K379" s="8">
        <f t="shared" si="27"/>
        <v>200</v>
      </c>
      <c r="L379" s="12"/>
    </row>
    <row r="380" spans="1:12" x14ac:dyDescent="0.25">
      <c r="A380" s="13"/>
      <c r="B380" s="6">
        <v>46560</v>
      </c>
      <c r="C380" s="2">
        <v>200</v>
      </c>
      <c r="D380" s="8"/>
      <c r="E380" s="8"/>
      <c r="F380" s="8"/>
      <c r="G380" s="8"/>
      <c r="H380" s="8"/>
      <c r="I380" s="8"/>
      <c r="J380" s="8">
        <f t="shared" si="26"/>
        <v>0</v>
      </c>
      <c r="K380" s="8">
        <f t="shared" si="27"/>
        <v>200</v>
      </c>
      <c r="L380" s="12"/>
    </row>
    <row r="381" spans="1:12" x14ac:dyDescent="0.25">
      <c r="A381" s="13"/>
      <c r="B381" s="6">
        <v>46561</v>
      </c>
      <c r="C381" s="2">
        <v>200</v>
      </c>
      <c r="D381" s="8"/>
      <c r="E381" s="8"/>
      <c r="F381" s="8"/>
      <c r="G381" s="8"/>
      <c r="I381" s="8"/>
      <c r="J381" s="8">
        <f t="shared" si="26"/>
        <v>0</v>
      </c>
      <c r="K381" s="8">
        <f t="shared" si="27"/>
        <v>200</v>
      </c>
      <c r="L381" s="12"/>
    </row>
    <row r="382" spans="1:12" x14ac:dyDescent="0.25">
      <c r="A382" s="13"/>
      <c r="B382" s="6">
        <v>46562</v>
      </c>
      <c r="C382" s="2">
        <v>200</v>
      </c>
      <c r="D382" s="8"/>
      <c r="E382" s="8"/>
      <c r="F382" s="8"/>
      <c r="G382" s="8"/>
      <c r="H382" s="8"/>
      <c r="I382" s="8"/>
      <c r="J382" s="8">
        <f t="shared" si="26"/>
        <v>0</v>
      </c>
      <c r="K382" s="8">
        <f t="shared" si="27"/>
        <v>200</v>
      </c>
      <c r="L382" s="12"/>
    </row>
    <row r="383" spans="1:12" x14ac:dyDescent="0.25">
      <c r="A383" s="13"/>
      <c r="B383" s="6">
        <v>46563</v>
      </c>
      <c r="C383" s="2">
        <v>200</v>
      </c>
      <c r="D383" s="8"/>
      <c r="E383" s="8"/>
      <c r="F383" s="8"/>
      <c r="G383" s="8"/>
      <c r="H383" s="8"/>
      <c r="I383" s="8"/>
      <c r="J383" s="8">
        <f t="shared" si="26"/>
        <v>0</v>
      </c>
      <c r="K383" s="8">
        <f t="shared" si="27"/>
        <v>200</v>
      </c>
      <c r="L383" s="12"/>
    </row>
    <row r="384" spans="1:12" x14ac:dyDescent="0.25">
      <c r="A384" s="13"/>
      <c r="B384" s="6">
        <v>46564</v>
      </c>
      <c r="C384" s="2">
        <v>200</v>
      </c>
      <c r="D384" s="8"/>
      <c r="E384" s="8"/>
      <c r="F384" s="8"/>
      <c r="G384" s="8"/>
      <c r="H384" s="8"/>
      <c r="I384" s="8"/>
      <c r="J384" s="8">
        <f t="shared" si="26"/>
        <v>0</v>
      </c>
      <c r="K384" s="8">
        <f t="shared" si="27"/>
        <v>200</v>
      </c>
      <c r="L384" s="12"/>
    </row>
    <row r="385" spans="1:12" x14ac:dyDescent="0.25">
      <c r="A385" s="13"/>
      <c r="B385" s="6">
        <v>46565</v>
      </c>
      <c r="C385" s="2">
        <v>200</v>
      </c>
      <c r="D385" s="8"/>
      <c r="E385" s="8"/>
      <c r="F385" s="8"/>
      <c r="G385" s="8"/>
      <c r="H385" s="8"/>
      <c r="I385" s="8"/>
      <c r="J385" s="8">
        <f t="shared" si="26"/>
        <v>0</v>
      </c>
      <c r="K385" s="8">
        <f t="shared" si="27"/>
        <v>200</v>
      </c>
      <c r="L385" s="12"/>
    </row>
    <row r="386" spans="1:12" x14ac:dyDescent="0.25">
      <c r="A386" s="13"/>
      <c r="B386" s="6">
        <v>46566</v>
      </c>
      <c r="C386" s="2">
        <v>200</v>
      </c>
      <c r="D386" s="8"/>
      <c r="E386" s="8"/>
      <c r="F386" s="8"/>
      <c r="G386" s="8"/>
      <c r="H386" s="8"/>
      <c r="I386" s="8"/>
      <c r="J386" s="8">
        <f t="shared" si="26"/>
        <v>0</v>
      </c>
      <c r="K386" s="8">
        <f t="shared" si="27"/>
        <v>200</v>
      </c>
      <c r="L386" s="12"/>
    </row>
    <row r="387" spans="1:12" x14ac:dyDescent="0.25">
      <c r="A387" s="13"/>
      <c r="B387" s="6">
        <v>46567</v>
      </c>
      <c r="C387" s="2">
        <v>200</v>
      </c>
      <c r="D387" s="8"/>
      <c r="E387" s="8"/>
      <c r="F387" s="8"/>
      <c r="G387" s="8"/>
      <c r="H387" s="8"/>
      <c r="I387" s="8"/>
      <c r="J387" s="8">
        <f t="shared" si="26"/>
        <v>0</v>
      </c>
      <c r="K387" s="8">
        <f t="shared" si="27"/>
        <v>200</v>
      </c>
      <c r="L387" s="12"/>
    </row>
    <row r="388" spans="1:12" x14ac:dyDescent="0.25">
      <c r="A388" s="13"/>
      <c r="B388" s="6">
        <v>46568</v>
      </c>
      <c r="C388" s="2">
        <v>200</v>
      </c>
      <c r="D388" s="8"/>
      <c r="E388" s="8"/>
      <c r="F388" s="8"/>
      <c r="G388" s="8"/>
      <c r="H388" s="8"/>
      <c r="I388" s="8"/>
      <c r="J388" s="8">
        <f t="shared" si="26"/>
        <v>0</v>
      </c>
      <c r="K388" s="8">
        <f t="shared" si="27"/>
        <v>200</v>
      </c>
      <c r="L388" s="12"/>
    </row>
    <row r="389" spans="1:12" x14ac:dyDescent="0.25">
      <c r="A389" s="9"/>
      <c r="B389" s="6"/>
      <c r="C389" s="2">
        <f>SUM(C359:C388)</f>
        <v>6000</v>
      </c>
      <c r="D389" s="2">
        <f>SUM(D359:D388)</f>
        <v>0</v>
      </c>
      <c r="E389" s="2">
        <f>SUM(E359:E388)</f>
        <v>0</v>
      </c>
      <c r="F389" s="2">
        <f>SUM(F359:F388)</f>
        <v>0</v>
      </c>
      <c r="G389" s="2">
        <f ca="1">SUM(G344:G393)</f>
        <v>0</v>
      </c>
      <c r="H389" s="2">
        <f>SUM(H359:H388)</f>
        <v>0</v>
      </c>
      <c r="I389" s="2">
        <f>SUM(I359:I388)</f>
        <v>0</v>
      </c>
      <c r="J389" s="2">
        <f>SUM(J359:J388)</f>
        <v>0</v>
      </c>
      <c r="K389" s="8">
        <f>SUM(K359:K388)</f>
        <v>6000</v>
      </c>
      <c r="L389" s="12"/>
    </row>
    <row r="390" spans="1:12" ht="15.75" x14ac:dyDescent="0.25">
      <c r="A390" s="4" t="s">
        <v>34</v>
      </c>
      <c r="B390" s="5" t="s">
        <v>36</v>
      </c>
      <c r="C390" s="5" t="s">
        <v>37</v>
      </c>
      <c r="D390" s="5" t="s">
        <v>19</v>
      </c>
      <c r="E390" s="5" t="s">
        <v>4</v>
      </c>
      <c r="F390" s="5" t="s">
        <v>5</v>
      </c>
      <c r="G390" s="5" t="s">
        <v>16</v>
      </c>
      <c r="H390" s="5" t="s">
        <v>6</v>
      </c>
      <c r="I390" s="5" t="s">
        <v>8</v>
      </c>
      <c r="J390" s="5" t="s">
        <v>33</v>
      </c>
      <c r="K390" s="5" t="s">
        <v>22</v>
      </c>
      <c r="L390" s="12"/>
    </row>
    <row r="391" spans="1:12" x14ac:dyDescent="0.25">
      <c r="A391" s="13" t="s">
        <v>35</v>
      </c>
      <c r="B391" s="6">
        <v>46569</v>
      </c>
      <c r="C391" s="2">
        <v>200</v>
      </c>
      <c r="D391" s="8"/>
      <c r="E391" s="8"/>
      <c r="F391" s="8"/>
      <c r="G391" s="8"/>
      <c r="H391" s="8"/>
      <c r="I391" s="8"/>
      <c r="J391" s="8">
        <f>SUM(D391:I391)</f>
        <v>0</v>
      </c>
      <c r="K391" s="8">
        <f>SUM(C391-J391)</f>
        <v>200</v>
      </c>
      <c r="L391" s="12"/>
    </row>
    <row r="392" spans="1:12" ht="15" customHeight="1" x14ac:dyDescent="0.25">
      <c r="A392" s="13"/>
      <c r="B392" s="6">
        <v>46570</v>
      </c>
      <c r="C392" s="2">
        <v>200</v>
      </c>
      <c r="D392" s="8"/>
      <c r="E392" s="8"/>
      <c r="F392" s="8"/>
      <c r="G392" s="8"/>
      <c r="H392" s="8"/>
      <c r="I392" s="8"/>
      <c r="J392" s="8">
        <f t="shared" ref="J392:J421" si="28">SUM(D392:I392)</f>
        <v>0</v>
      </c>
      <c r="K392" s="8">
        <f t="shared" ref="K392:K421" si="29">SUM(C392-J392)</f>
        <v>200</v>
      </c>
      <c r="L392" s="12"/>
    </row>
    <row r="393" spans="1:12" x14ac:dyDescent="0.25">
      <c r="A393" s="13"/>
      <c r="B393" s="6">
        <v>46571</v>
      </c>
      <c r="C393" s="2">
        <v>200</v>
      </c>
      <c r="D393" s="8"/>
      <c r="E393" s="8"/>
      <c r="F393" s="8"/>
      <c r="G393" s="8"/>
      <c r="H393" s="8"/>
      <c r="I393" s="8"/>
      <c r="J393" s="8">
        <f t="shared" si="28"/>
        <v>0</v>
      </c>
      <c r="K393" s="8">
        <f t="shared" si="29"/>
        <v>200</v>
      </c>
      <c r="L393" s="12"/>
    </row>
    <row r="394" spans="1:12" x14ac:dyDescent="0.25">
      <c r="A394" s="13"/>
      <c r="B394" s="6">
        <v>46572</v>
      </c>
      <c r="C394" s="2">
        <v>200</v>
      </c>
      <c r="D394" s="8"/>
      <c r="E394" s="8"/>
      <c r="F394" s="8"/>
      <c r="G394" s="8"/>
      <c r="H394" s="8"/>
      <c r="I394" s="8"/>
      <c r="J394" s="8">
        <f t="shared" si="28"/>
        <v>0</v>
      </c>
      <c r="K394" s="8">
        <f t="shared" si="29"/>
        <v>200</v>
      </c>
      <c r="L394" s="12"/>
    </row>
    <row r="395" spans="1:12" x14ac:dyDescent="0.25">
      <c r="A395" s="13"/>
      <c r="B395" s="6">
        <v>46573</v>
      </c>
      <c r="C395" s="2">
        <v>200</v>
      </c>
      <c r="D395" s="8"/>
      <c r="E395" s="8"/>
      <c r="F395" s="8"/>
      <c r="G395" s="8"/>
      <c r="H395" s="8"/>
      <c r="I395" s="8"/>
      <c r="J395" s="8">
        <f t="shared" si="28"/>
        <v>0</v>
      </c>
      <c r="K395" s="8">
        <f t="shared" si="29"/>
        <v>200</v>
      </c>
      <c r="L395" s="12"/>
    </row>
    <row r="396" spans="1:12" x14ac:dyDescent="0.25">
      <c r="A396" s="13"/>
      <c r="B396" s="6">
        <v>46574</v>
      </c>
      <c r="C396" s="2">
        <v>200</v>
      </c>
      <c r="D396" s="8"/>
      <c r="E396" s="8"/>
      <c r="F396" s="8"/>
      <c r="G396" s="8"/>
      <c r="H396" s="8"/>
      <c r="I396" s="8"/>
      <c r="J396" s="8">
        <f t="shared" si="28"/>
        <v>0</v>
      </c>
      <c r="K396" s="8">
        <f t="shared" si="29"/>
        <v>200</v>
      </c>
      <c r="L396" s="12"/>
    </row>
    <row r="397" spans="1:12" x14ac:dyDescent="0.25">
      <c r="A397" s="13"/>
      <c r="B397" s="6">
        <v>46575</v>
      </c>
      <c r="C397" s="2">
        <v>200</v>
      </c>
      <c r="D397" s="8"/>
      <c r="E397" s="8"/>
      <c r="F397" s="8"/>
      <c r="G397" s="8"/>
      <c r="H397" s="8"/>
      <c r="I397" s="8"/>
      <c r="J397" s="8">
        <f t="shared" si="28"/>
        <v>0</v>
      </c>
      <c r="K397" s="8">
        <f t="shared" si="29"/>
        <v>200</v>
      </c>
      <c r="L397" s="12"/>
    </row>
    <row r="398" spans="1:12" x14ac:dyDescent="0.25">
      <c r="A398" s="13"/>
      <c r="B398" s="6">
        <v>46576</v>
      </c>
      <c r="C398" s="2">
        <v>200</v>
      </c>
      <c r="D398" s="8"/>
      <c r="E398" s="8"/>
      <c r="F398" s="8"/>
      <c r="G398" s="8"/>
      <c r="H398" s="8"/>
      <c r="I398" s="8"/>
      <c r="J398" s="8">
        <f t="shared" si="28"/>
        <v>0</v>
      </c>
      <c r="K398" s="8">
        <f t="shared" si="29"/>
        <v>200</v>
      </c>
      <c r="L398" s="12"/>
    </row>
    <row r="399" spans="1:12" x14ac:dyDescent="0.25">
      <c r="A399" s="13"/>
      <c r="B399" s="6">
        <v>46577</v>
      </c>
      <c r="C399" s="2">
        <v>200</v>
      </c>
      <c r="D399" s="8"/>
      <c r="E399" s="8"/>
      <c r="F399" s="8"/>
      <c r="G399" s="8"/>
      <c r="H399" s="8"/>
      <c r="I399" s="8"/>
      <c r="J399" s="8">
        <f t="shared" si="28"/>
        <v>0</v>
      </c>
      <c r="K399" s="8">
        <f t="shared" si="29"/>
        <v>200</v>
      </c>
      <c r="L399" s="12"/>
    </row>
    <row r="400" spans="1:12" x14ac:dyDescent="0.25">
      <c r="A400" s="13"/>
      <c r="B400" s="6">
        <v>46578</v>
      </c>
      <c r="C400" s="2">
        <v>200</v>
      </c>
      <c r="D400" s="8"/>
      <c r="E400" s="8"/>
      <c r="F400" s="8"/>
      <c r="G400" s="8"/>
      <c r="H400" s="8"/>
      <c r="I400" s="8"/>
      <c r="J400" s="8">
        <f t="shared" si="28"/>
        <v>0</v>
      </c>
      <c r="K400" s="8">
        <f t="shared" si="29"/>
        <v>200</v>
      </c>
      <c r="L400" s="12"/>
    </row>
    <row r="401" spans="1:12" x14ac:dyDescent="0.25">
      <c r="A401" s="13"/>
      <c r="B401" s="6">
        <v>46579</v>
      </c>
      <c r="C401" s="2">
        <v>200</v>
      </c>
      <c r="D401" s="8"/>
      <c r="E401" s="8"/>
      <c r="F401" s="8"/>
      <c r="G401" s="8"/>
      <c r="H401" s="8"/>
      <c r="I401" s="8"/>
      <c r="J401" s="8">
        <f t="shared" si="28"/>
        <v>0</v>
      </c>
      <c r="K401" s="8">
        <f t="shared" si="29"/>
        <v>200</v>
      </c>
      <c r="L401" s="12"/>
    </row>
    <row r="402" spans="1:12" x14ac:dyDescent="0.25">
      <c r="A402" s="13"/>
      <c r="B402" s="6">
        <v>46580</v>
      </c>
      <c r="C402" s="2">
        <v>200</v>
      </c>
      <c r="D402" s="8"/>
      <c r="E402" s="8"/>
      <c r="F402" s="8"/>
      <c r="G402" s="8"/>
      <c r="H402" s="8"/>
      <c r="I402" s="8"/>
      <c r="J402" s="8">
        <f t="shared" si="28"/>
        <v>0</v>
      </c>
      <c r="K402" s="8">
        <f t="shared" si="29"/>
        <v>200</v>
      </c>
      <c r="L402" s="12"/>
    </row>
    <row r="403" spans="1:12" x14ac:dyDescent="0.25">
      <c r="A403" s="13"/>
      <c r="B403" s="6">
        <v>46581</v>
      </c>
      <c r="C403" s="2">
        <v>200</v>
      </c>
      <c r="D403" s="8"/>
      <c r="E403" s="8"/>
      <c r="F403" s="8"/>
      <c r="G403" s="8"/>
      <c r="H403" s="8"/>
      <c r="I403" s="8"/>
      <c r="J403" s="8">
        <f t="shared" si="28"/>
        <v>0</v>
      </c>
      <c r="K403" s="8">
        <f t="shared" si="29"/>
        <v>200</v>
      </c>
      <c r="L403" s="12"/>
    </row>
    <row r="404" spans="1:12" x14ac:dyDescent="0.25">
      <c r="A404" s="13"/>
      <c r="B404" s="6">
        <v>46582</v>
      </c>
      <c r="C404" s="2">
        <v>200</v>
      </c>
      <c r="D404" s="8"/>
      <c r="E404" s="8"/>
      <c r="F404" s="8"/>
      <c r="G404" s="8"/>
      <c r="H404" s="8"/>
      <c r="I404" s="8"/>
      <c r="J404" s="8">
        <f t="shared" si="28"/>
        <v>0</v>
      </c>
      <c r="K404" s="8">
        <f t="shared" si="29"/>
        <v>200</v>
      </c>
      <c r="L404" s="12"/>
    </row>
    <row r="405" spans="1:12" x14ac:dyDescent="0.25">
      <c r="A405" s="13"/>
      <c r="B405" s="6">
        <v>46583</v>
      </c>
      <c r="C405" s="2">
        <v>200</v>
      </c>
      <c r="D405" s="8"/>
      <c r="E405" s="8"/>
      <c r="F405" s="8"/>
      <c r="G405" s="8"/>
      <c r="I405" s="8"/>
      <c r="J405" s="8">
        <f t="shared" si="28"/>
        <v>0</v>
      </c>
      <c r="K405" s="8">
        <f t="shared" si="29"/>
        <v>200</v>
      </c>
      <c r="L405" s="12"/>
    </row>
    <row r="406" spans="1:12" x14ac:dyDescent="0.25">
      <c r="A406" s="13"/>
      <c r="B406" s="6">
        <v>46584</v>
      </c>
      <c r="C406" s="2">
        <v>200</v>
      </c>
      <c r="D406" s="8"/>
      <c r="E406" s="8"/>
      <c r="F406" s="8"/>
      <c r="G406" s="8"/>
      <c r="H406" s="8"/>
      <c r="I406" s="8"/>
      <c r="J406" s="8">
        <f t="shared" si="28"/>
        <v>0</v>
      </c>
      <c r="K406" s="8">
        <f t="shared" si="29"/>
        <v>200</v>
      </c>
    </row>
    <row r="407" spans="1:12" x14ac:dyDescent="0.25">
      <c r="A407" s="13"/>
      <c r="B407" s="6">
        <v>46585</v>
      </c>
      <c r="C407" s="2">
        <v>200</v>
      </c>
      <c r="D407" s="8"/>
      <c r="E407" s="8"/>
      <c r="F407" s="8"/>
      <c r="G407" s="8"/>
      <c r="I407" s="8"/>
      <c r="J407" s="8">
        <f t="shared" si="28"/>
        <v>0</v>
      </c>
      <c r="K407" s="8">
        <f t="shared" si="29"/>
        <v>200</v>
      </c>
    </row>
    <row r="408" spans="1:12" x14ac:dyDescent="0.25">
      <c r="A408" s="13"/>
      <c r="B408" s="6">
        <v>46586</v>
      </c>
      <c r="C408" s="2">
        <v>200</v>
      </c>
      <c r="D408" s="8"/>
      <c r="E408" s="8"/>
      <c r="F408" s="8"/>
      <c r="G408" s="8"/>
      <c r="I408" s="8"/>
      <c r="J408" s="8">
        <f t="shared" si="28"/>
        <v>0</v>
      </c>
      <c r="K408" s="8">
        <f t="shared" si="29"/>
        <v>200</v>
      </c>
    </row>
    <row r="409" spans="1:12" x14ac:dyDescent="0.25">
      <c r="A409" s="13"/>
      <c r="B409" s="6">
        <v>46587</v>
      </c>
      <c r="C409" s="2">
        <v>200</v>
      </c>
      <c r="D409" s="8"/>
      <c r="E409" s="8"/>
      <c r="F409" s="8"/>
      <c r="G409" s="8"/>
      <c r="H409" s="8"/>
      <c r="I409" s="8"/>
      <c r="J409" s="8">
        <f t="shared" si="28"/>
        <v>0</v>
      </c>
      <c r="K409" s="8">
        <f t="shared" si="29"/>
        <v>200</v>
      </c>
    </row>
    <row r="410" spans="1:12" x14ac:dyDescent="0.25">
      <c r="A410" s="13"/>
      <c r="B410" s="6">
        <v>46588</v>
      </c>
      <c r="C410" s="2">
        <v>200</v>
      </c>
      <c r="D410" s="8"/>
      <c r="E410" s="8"/>
      <c r="F410" s="8"/>
      <c r="G410" s="8"/>
      <c r="I410" s="8"/>
      <c r="J410" s="8">
        <f t="shared" si="28"/>
        <v>0</v>
      </c>
      <c r="K410" s="8">
        <f t="shared" si="29"/>
        <v>200</v>
      </c>
    </row>
    <row r="411" spans="1:12" x14ac:dyDescent="0.25">
      <c r="A411" s="13"/>
      <c r="B411" s="6">
        <v>46589</v>
      </c>
      <c r="C411" s="2">
        <v>200</v>
      </c>
      <c r="D411" s="8"/>
      <c r="E411" s="8"/>
      <c r="F411" s="8"/>
      <c r="G411" s="8"/>
      <c r="H411" s="8"/>
      <c r="I411" s="8"/>
      <c r="J411" s="8">
        <f t="shared" si="28"/>
        <v>0</v>
      </c>
      <c r="K411" s="8">
        <f t="shared" si="29"/>
        <v>200</v>
      </c>
    </row>
    <row r="412" spans="1:12" x14ac:dyDescent="0.25">
      <c r="A412" s="13"/>
      <c r="B412" s="6">
        <v>46590</v>
      </c>
      <c r="C412" s="2">
        <v>200</v>
      </c>
      <c r="D412" s="8"/>
      <c r="E412" s="8"/>
      <c r="F412" s="8"/>
      <c r="G412" s="8"/>
      <c r="H412" s="8"/>
      <c r="I412" s="8"/>
      <c r="J412" s="8">
        <f t="shared" si="28"/>
        <v>0</v>
      </c>
      <c r="K412" s="8">
        <f t="shared" si="29"/>
        <v>200</v>
      </c>
    </row>
    <row r="413" spans="1:12" x14ac:dyDescent="0.25">
      <c r="A413" s="13"/>
      <c r="B413" s="6">
        <v>46591</v>
      </c>
      <c r="C413" s="2">
        <v>200</v>
      </c>
      <c r="D413" s="8"/>
      <c r="E413" s="8"/>
      <c r="F413" s="8"/>
      <c r="G413" s="8"/>
      <c r="H413" s="8"/>
      <c r="I413" s="8"/>
      <c r="J413" s="8">
        <f t="shared" si="28"/>
        <v>0</v>
      </c>
      <c r="K413" s="8">
        <f t="shared" si="29"/>
        <v>200</v>
      </c>
    </row>
    <row r="414" spans="1:12" x14ac:dyDescent="0.25">
      <c r="A414" s="13"/>
      <c r="B414" s="6">
        <v>46592</v>
      </c>
      <c r="C414" s="2">
        <v>200</v>
      </c>
      <c r="D414" s="8"/>
      <c r="E414" s="8"/>
      <c r="F414" s="8"/>
      <c r="G414" s="8"/>
      <c r="I414" s="8"/>
      <c r="J414" s="8">
        <f t="shared" si="28"/>
        <v>0</v>
      </c>
      <c r="K414" s="8">
        <f t="shared" si="29"/>
        <v>200</v>
      </c>
    </row>
    <row r="415" spans="1:12" x14ac:dyDescent="0.25">
      <c r="A415" s="13"/>
      <c r="B415" s="6">
        <v>46593</v>
      </c>
      <c r="C415" s="2">
        <v>200</v>
      </c>
      <c r="D415" s="8"/>
      <c r="E415" s="8"/>
      <c r="F415" s="8"/>
      <c r="G415" s="8"/>
      <c r="H415" s="8"/>
      <c r="I415" s="8"/>
      <c r="J415" s="8">
        <f t="shared" si="28"/>
        <v>0</v>
      </c>
      <c r="K415" s="8">
        <f t="shared" si="29"/>
        <v>200</v>
      </c>
    </row>
    <row r="416" spans="1:12" x14ac:dyDescent="0.25">
      <c r="A416" s="13"/>
      <c r="B416" s="6">
        <v>46594</v>
      </c>
      <c r="C416" s="2">
        <v>200</v>
      </c>
      <c r="D416" s="8"/>
      <c r="E416" s="8"/>
      <c r="F416" s="8"/>
      <c r="G416" s="8"/>
      <c r="H416" s="8"/>
      <c r="I416" s="8"/>
      <c r="J416" s="8">
        <f t="shared" si="28"/>
        <v>0</v>
      </c>
      <c r="K416" s="8">
        <f t="shared" si="29"/>
        <v>200</v>
      </c>
    </row>
    <row r="417" spans="1:11" x14ac:dyDescent="0.25">
      <c r="A417" s="13"/>
      <c r="B417" s="6">
        <v>46595</v>
      </c>
      <c r="C417" s="2">
        <v>200</v>
      </c>
      <c r="D417" s="8"/>
      <c r="E417" s="8"/>
      <c r="F417" s="8"/>
      <c r="G417" s="8"/>
      <c r="H417" s="8"/>
      <c r="I417" s="8"/>
      <c r="J417" s="8">
        <f t="shared" si="28"/>
        <v>0</v>
      </c>
      <c r="K417" s="8">
        <f t="shared" si="29"/>
        <v>200</v>
      </c>
    </row>
    <row r="418" spans="1:11" x14ac:dyDescent="0.25">
      <c r="A418" s="13"/>
      <c r="B418" s="6">
        <v>46596</v>
      </c>
      <c r="C418" s="2">
        <v>200</v>
      </c>
      <c r="D418" s="8"/>
      <c r="E418" s="8"/>
      <c r="F418" s="8"/>
      <c r="G418" s="8"/>
      <c r="H418" s="8"/>
      <c r="I418" s="8"/>
      <c r="J418" s="8">
        <f t="shared" si="28"/>
        <v>0</v>
      </c>
      <c r="K418" s="8">
        <f t="shared" si="29"/>
        <v>200</v>
      </c>
    </row>
    <row r="419" spans="1:11" x14ac:dyDescent="0.25">
      <c r="A419" s="13"/>
      <c r="B419" s="6">
        <v>46597</v>
      </c>
      <c r="C419" s="2">
        <v>200</v>
      </c>
      <c r="D419" s="8"/>
      <c r="E419" s="8"/>
      <c r="F419" s="8"/>
      <c r="G419" s="8"/>
      <c r="H419" s="8"/>
      <c r="I419" s="8"/>
      <c r="J419" s="8">
        <f t="shared" si="28"/>
        <v>0</v>
      </c>
      <c r="K419" s="8">
        <f t="shared" si="29"/>
        <v>200</v>
      </c>
    </row>
    <row r="420" spans="1:11" x14ac:dyDescent="0.25">
      <c r="A420" s="13"/>
      <c r="B420" s="6">
        <v>46598</v>
      </c>
      <c r="C420" s="2">
        <v>200</v>
      </c>
      <c r="D420" s="8"/>
      <c r="E420" s="8"/>
      <c r="F420" s="8"/>
      <c r="G420" s="8"/>
      <c r="H420" s="8"/>
      <c r="I420" s="8"/>
      <c r="J420" s="8">
        <f t="shared" si="28"/>
        <v>0</v>
      </c>
      <c r="K420" s="8">
        <f t="shared" si="29"/>
        <v>200</v>
      </c>
    </row>
    <row r="421" spans="1:11" x14ac:dyDescent="0.25">
      <c r="A421" s="13"/>
      <c r="B421" s="6">
        <v>46599</v>
      </c>
      <c r="C421" s="2">
        <v>200</v>
      </c>
      <c r="D421" s="8"/>
      <c r="E421" s="8"/>
      <c r="F421" s="8"/>
      <c r="G421" s="8"/>
      <c r="H421" s="8"/>
      <c r="I421" s="8"/>
      <c r="J421" s="8">
        <f t="shared" si="28"/>
        <v>0</v>
      </c>
      <c r="K421" s="8">
        <f t="shared" si="29"/>
        <v>200</v>
      </c>
    </row>
    <row r="422" spans="1:11" x14ac:dyDescent="0.25">
      <c r="A422" s="9"/>
      <c r="B422" s="6"/>
      <c r="C422" s="2">
        <f t="shared" ref="C422:K422" si="30">SUM(C391:C421)</f>
        <v>6200</v>
      </c>
      <c r="D422" s="2">
        <f t="shared" si="30"/>
        <v>0</v>
      </c>
      <c r="E422" s="2">
        <f t="shared" si="30"/>
        <v>0</v>
      </c>
      <c r="F422" s="2">
        <f t="shared" si="30"/>
        <v>0</v>
      </c>
      <c r="G422" s="2">
        <f t="shared" si="30"/>
        <v>0</v>
      </c>
      <c r="H422" s="2">
        <f t="shared" si="30"/>
        <v>0</v>
      </c>
      <c r="I422" s="2">
        <f t="shared" si="30"/>
        <v>0</v>
      </c>
      <c r="J422" s="2">
        <f t="shared" si="30"/>
        <v>0</v>
      </c>
      <c r="K422" s="8">
        <f t="shared" si="30"/>
        <v>6200</v>
      </c>
    </row>
    <row r="423" spans="1:11" x14ac:dyDescent="0.25">
      <c r="A423" s="9"/>
      <c r="B423" s="6"/>
    </row>
    <row r="424" spans="1:11" x14ac:dyDescent="0.25">
      <c r="A424" s="9"/>
      <c r="B424" s="6"/>
      <c r="C424" s="2"/>
      <c r="D424" s="8"/>
      <c r="E424" s="8"/>
      <c r="F424" s="8"/>
      <c r="G424" s="8"/>
      <c r="H424" s="8"/>
      <c r="I424" s="8"/>
      <c r="J424" s="8"/>
      <c r="K424" s="8"/>
    </row>
    <row r="425" spans="1:11" x14ac:dyDescent="0.25">
      <c r="A425" s="9"/>
      <c r="B425" s="6"/>
      <c r="C425" s="2"/>
      <c r="D425" s="8"/>
      <c r="E425" s="8"/>
      <c r="F425" s="8"/>
      <c r="G425" s="8"/>
      <c r="H425" s="8"/>
      <c r="I425" s="8"/>
      <c r="J425" s="8"/>
      <c r="K425" s="8"/>
    </row>
    <row r="426" spans="1:11" x14ac:dyDescent="0.25">
      <c r="A426" s="9"/>
      <c r="B426" s="6"/>
      <c r="C426" s="2"/>
      <c r="D426" s="8"/>
      <c r="E426" s="8"/>
      <c r="F426" s="8"/>
      <c r="G426" s="8"/>
      <c r="H426" s="8"/>
      <c r="I426" s="8"/>
      <c r="J426" s="8"/>
      <c r="K426" s="8"/>
    </row>
    <row r="427" spans="1:11" x14ac:dyDescent="0.25">
      <c r="A427" s="9"/>
      <c r="B427" s="6"/>
      <c r="C427" s="2"/>
      <c r="D427" s="8"/>
      <c r="E427" s="8"/>
      <c r="F427" s="8"/>
      <c r="G427" s="8"/>
      <c r="H427" s="8"/>
      <c r="I427" s="8"/>
      <c r="J427" s="8"/>
      <c r="K427" s="8"/>
    </row>
    <row r="428" spans="1:11" x14ac:dyDescent="0.25">
      <c r="A428" s="9"/>
      <c r="B428" s="6"/>
      <c r="C428" s="2"/>
      <c r="D428" s="8"/>
      <c r="E428" s="8"/>
      <c r="F428" s="8"/>
      <c r="G428" s="8"/>
      <c r="H428" s="8"/>
      <c r="I428" s="8"/>
      <c r="J428" s="8"/>
      <c r="K428" s="8"/>
    </row>
    <row r="429" spans="1:11" x14ac:dyDescent="0.25">
      <c r="A429" s="9"/>
      <c r="B429" s="6"/>
      <c r="C429" s="2"/>
      <c r="D429" s="8"/>
      <c r="E429" s="8"/>
      <c r="F429" s="8"/>
      <c r="G429" s="8"/>
      <c r="H429" s="8"/>
      <c r="I429" s="8"/>
      <c r="J429" s="8"/>
      <c r="K429" s="8"/>
    </row>
    <row r="430" spans="1:11" x14ac:dyDescent="0.25">
      <c r="A430" s="9"/>
      <c r="B430" s="6"/>
      <c r="C430" s="2"/>
      <c r="D430" s="8"/>
      <c r="E430" s="8"/>
      <c r="F430" s="8"/>
      <c r="G430" s="8"/>
      <c r="H430" s="8"/>
      <c r="I430" s="8"/>
      <c r="J430" s="8"/>
      <c r="K430" s="8"/>
    </row>
    <row r="431" spans="1:11" x14ac:dyDescent="0.25">
      <c r="A431" s="9"/>
      <c r="B431" s="6"/>
      <c r="C431" s="2"/>
      <c r="D431" s="8"/>
      <c r="E431" s="8"/>
      <c r="F431" s="8"/>
      <c r="G431" s="8"/>
      <c r="H431" s="8"/>
      <c r="I431" s="8"/>
      <c r="J431" s="8"/>
      <c r="K431" s="8"/>
    </row>
    <row r="432" spans="1:11" x14ac:dyDescent="0.25">
      <c r="C432" s="2"/>
      <c r="D432" s="2"/>
      <c r="E432" s="2"/>
      <c r="F432" s="2"/>
      <c r="G432" s="2"/>
      <c r="H432" s="2"/>
      <c r="I432" s="2"/>
      <c r="J432" s="2"/>
      <c r="K432" s="8"/>
    </row>
  </sheetData>
  <mergeCells count="17">
    <mergeCell ref="L153:L162"/>
    <mergeCell ref="L74:L78"/>
    <mergeCell ref="A2:A32"/>
    <mergeCell ref="A231:A258"/>
    <mergeCell ref="A261:A291"/>
    <mergeCell ref="A35:A65"/>
    <mergeCell ref="A68:A97"/>
    <mergeCell ref="A100:A130"/>
    <mergeCell ref="A133:A162"/>
    <mergeCell ref="A165:A195"/>
    <mergeCell ref="A198:A228"/>
    <mergeCell ref="L314:L323"/>
    <mergeCell ref="L326:L405"/>
    <mergeCell ref="A294:A323"/>
    <mergeCell ref="A326:A356"/>
    <mergeCell ref="A359:A388"/>
    <mergeCell ref="A391:A421"/>
  </mergeCells>
  <phoneticPr fontId="18" type="noConversion"/>
  <pageMargins left="0.7" right="0.7" top="0.75" bottom="0.75" header="0.3" footer="0.3"/>
  <ignoredErrors>
    <ignoredError sqref="J2:J3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4d2abf-828e-43a1-82c2-2e0b335dc4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BF0C439406A41AE09E70B39B2E5D2" ma:contentTypeVersion="5" ma:contentTypeDescription="Create a new document." ma:contentTypeScope="" ma:versionID="3b8f0bb47dc4cc7f45d9834724ac4648">
  <xsd:schema xmlns:xsd="http://www.w3.org/2001/XMLSchema" xmlns:xs="http://www.w3.org/2001/XMLSchema" xmlns:p="http://schemas.microsoft.com/office/2006/metadata/properties" xmlns:ns3="564d2abf-828e-43a1-82c2-2e0b335dc4ba" targetNamespace="http://schemas.microsoft.com/office/2006/metadata/properties" ma:root="true" ma:fieldsID="2593976030386ec2921f69762276861a" ns3:_="">
    <xsd:import namespace="564d2abf-828e-43a1-82c2-2e0b335dc4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d2abf-828e-43a1-82c2-2e0b335dc4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8F9A33-761D-4EF0-9FFE-9CEC5052AE7E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564d2abf-828e-43a1-82c2-2e0b335dc4ba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CD94930-39D6-4907-8E45-3B9720B6CB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07C017-B757-4EDF-B4C5-E3D50E270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d2abf-828e-43a1-82c2-2e0b335dc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TFa146c834-f9db-4f07-9545-eb002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jhajharia</dc:creator>
  <cp:lastModifiedBy>Mayank</cp:lastModifiedBy>
  <dcterms:created xsi:type="dcterms:W3CDTF">2026-06-30T08:58:25Z</dcterms:created>
  <dcterms:modified xsi:type="dcterms:W3CDTF">2026-06-30T12:12:32Z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0x010100048BF0C439406A41AE09E70B39B2E5D2</vt:lpwstr>
  </property>
</Properties>
</file>